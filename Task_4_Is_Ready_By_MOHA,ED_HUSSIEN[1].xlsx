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awa\Desktop\All Sessions, Quiz, Tasks and final Projects\Tasks Excel\Task 4\"/>
    </mc:Choice>
  </mc:AlternateContent>
  <bookViews>
    <workbookView minimized="1" xWindow="-108" yWindow="2628" windowWidth="23256" windowHeight="12576" activeTab="1"/>
  </bookViews>
  <sheets>
    <sheet name="Data" sheetId="1" r:id="rId1"/>
    <sheet name="Sales_Dashboard" sheetId="2" r:id="rId2"/>
    <sheet name="PivotTableReport" sheetId="3" r:id="rId3"/>
  </sheets>
  <definedNames>
    <definedName name="Slicer_Name1">#N/A</definedName>
  </definedNames>
  <calcPr calcId="162913"/>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<sst xmlns="http://schemas.openxmlformats.org/spreadsheetml/2006/main" count="487" uniqueCount="61">
  <si>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</si>
  <si>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</si>
  <si>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</si>
  <si>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</si>
  <si>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</si>
  <si>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</si>
  <si>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</si>
  <si>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</si>
  <si>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</si>
  <si>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</si>
  <si>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</si>
  <si>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</si>
  <si>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</si>
  <si>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</si>
  <si>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</si>
  <si>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</si>
  <si>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</si>
  <si>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</si>
  <si>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</si>
  <si>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</si>
  <si>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</si>
  <si>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</si>
  <si>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</si>
  <si>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</si>
  <si>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</si>
  <si>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</si>
  <si>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</si>
  <si>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</si>
  <si>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</si>
  <si>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</si>
  <si>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</si>
  <si>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</si>
  <si>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</si>
  <si>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</si>
  <si>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</si>
  <si>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Row Labels</t>
  </si>
  <si>
    <t>Grand Total</t>
  </si>
  <si>
    <t>Sum of Total Calls</t>
  </si>
  <si>
    <t>Sum of Calls Reached</t>
  </si>
  <si>
    <t>Sum of Deals Closed</t>
  </si>
  <si>
    <t>Sum of Deal Value ($)</t>
  </si>
  <si>
    <t>Sum of Call Drop Rate (%)</t>
  </si>
  <si>
    <t># Total Calls</t>
  </si>
  <si>
    <t># Calls Reached</t>
  </si>
  <si>
    <t># Deals Closed</t>
  </si>
  <si>
    <t># Deal Value ($)</t>
  </si>
  <si>
    <t># Call Drop Rate (%)</t>
  </si>
  <si>
    <t>Average of Average Duration (sec)</t>
  </si>
  <si>
    <t>يناير</t>
  </si>
  <si>
    <t>فبراير</t>
  </si>
  <si>
    <t>مارس</t>
  </si>
  <si>
    <t>أبريل</t>
  </si>
  <si>
    <t>مايو</t>
  </si>
  <si>
    <t>يونيو</t>
  </si>
  <si>
    <t>يوليه</t>
  </si>
  <si>
    <t>أغسطس</t>
  </si>
  <si>
    <t>سبتمبر</t>
  </si>
  <si>
    <t>أكتوبر</t>
  </si>
  <si>
    <t>نوفمبر</t>
  </si>
  <si>
    <t>ديسمبر</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</si>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</sst>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540A]#,##0"/>
    <numFmt numFmtId="165" formatCode="[$$-409]#,##0"/>
  </numFmts>
  <fonts count="7">
    <font>
      <sz val="11"/>
      <color theme="1"/>
      <name val="Aptos Narrow"/>
      <family val="2"/>
      <scheme val="minor"/>
    </font>
    <font>
      <sz val="11"/>
      <color theme="1"/>
      <name val="Aptos Narrow"/>
      <family val="2"/>
      <scheme val="minor"/>
    </font>
    <font>
      <sz val="11"/>
      <color theme="0"/>
      <name val="Aptos Narrow"/>
      <family val="2"/>
      <charset val="178"/>
      <scheme val="minor"/>
    </font>
    <font>
      <b/>
      <sz val="12"/>
      <color theme="1"/>
      <name val="Arial"/>
      <family val="2"/>
    </font>
    <font>
      <b/>
      <sz val="14"/>
      <color theme="1"/>
      <name val="Arial"/>
    </font>
    <font>
      <b/>
      <sz val="16"/>
      <color theme="1"/>
      <name val="Arial"/>
    </font>
    <font>
      <sz val="16"/>
      <color theme="1"/>
      <name val="Arial"/>
    </font>
  </fonts>
  <fills count="3">
    <fill>
      <patternFill patternType="none"/>
    </fill>
    <fill>
      <patternFill patternType="gray125"/>
    </fill>
    <fill>
      <patternFill patternType="solid">
        <fgColor theme="8"/>
      </patternFill>
    </fill>
  </fills>
  <borders count="9">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29">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3" fillId="0" borderId="0" xfId="0" applyFont="1" applyAlignment="1">
      <alignment horizontal="center" vertical="center"/>
    </xf>
    <xf numFmtId="164" fontId="0" fillId="0" borderId="0" xfId="0" applyNumberFormat="1"/>
    <xf numFmtId="1" fontId="0" fillId="0" borderId="0" xfId="0" applyNumberFormat="1"/>
    <xf numFmtId="9" fontId="0" fillId="0" borderId="0" xfId="0" applyNumberFormat="1"/>
    <xf numFmtId="165" fontId="0" fillId="0" borderId="0" xfId="0" applyNumberFormat="1"/>
    <xf numFmtId="0" fontId="4" fillId="0" borderId="0" xfId="0" applyFont="1" applyBorder="1" applyAlignment="1"/>
    <xf numFmtId="0" fontId="4" fillId="0" borderId="0" xfId="0" applyNumberFormat="1" applyFont="1" applyBorder="1"/>
    <xf numFmtId="0" fontId="5" fillId="0" borderId="0" xfId="0" applyNumberFormat="1" applyFont="1" applyBorder="1" applyAlignment="1">
      <alignment horizontal="center" vertical="center"/>
    </xf>
    <xf numFmtId="0" fontId="5" fillId="0" borderId="0" xfId="0" applyFont="1" applyBorder="1" applyAlignment="1">
      <alignment horizontal="center" vertical="center"/>
    </xf>
    <xf numFmtId="0" fontId="6" fillId="0" borderId="0" xfId="0" pivotButton="1" applyFont="1" applyBorder="1" applyAlignment="1">
      <alignment horizontal="center" vertical="center"/>
    </xf>
    <xf numFmtId="0" fontId="6" fillId="0" borderId="0" xfId="0" applyFont="1" applyBorder="1" applyAlignment="1">
      <alignment horizontal="center" vertical="center"/>
    </xf>
    <xf numFmtId="0" fontId="2" fillId="2" borderId="1" xfId="2" applyBorder="1" applyAlignment="1">
      <alignment horizontal="center" vertical="center"/>
    </xf>
    <xf numFmtId="0" fontId="2" fillId="2" borderId="2" xfId="2" applyBorder="1" applyAlignment="1">
      <alignment horizontal="center" vertical="center"/>
    </xf>
    <xf numFmtId="0" fontId="2" fillId="2" borderId="3" xfId="2" applyBorder="1" applyAlignment="1">
      <alignment horizontal="center" vertical="center"/>
    </xf>
    <xf numFmtId="0" fontId="2" fillId="2" borderId="4" xfId="2" applyBorder="1" applyAlignment="1">
      <alignment horizontal="center" vertical="center"/>
    </xf>
    <xf numFmtId="0" fontId="2" fillId="2" borderId="0" xfId="2" applyBorder="1" applyAlignment="1">
      <alignment horizontal="center" vertical="center"/>
    </xf>
    <xf numFmtId="0" fontId="2" fillId="2" borderId="5" xfId="2" applyBorder="1" applyAlignment="1">
      <alignment horizontal="center" vertical="center"/>
    </xf>
    <xf numFmtId="0" fontId="2" fillId="2" borderId="6" xfId="2" applyBorder="1" applyAlignment="1">
      <alignment horizontal="center" vertical="center"/>
    </xf>
    <xf numFmtId="0" fontId="2" fillId="2" borderId="7" xfId="2" applyBorder="1" applyAlignment="1">
      <alignment horizontal="center" vertical="center"/>
    </xf>
    <xf numFmtId="0" fontId="2" fillId="2" borderId="8" xfId="2" applyBorder="1" applyAlignment="1">
      <alignment horizontal="center" vertical="center"/>
    </xf>
    <xf numFmtId="1" fontId="0" fillId="0" borderId="0" xfId="0" applyNumberFormat="1" applyAlignment="1">
      <alignment horizontal="right"/>
    </xf>
    <xf numFmtId="1" fontId="0" fillId="0" borderId="0" xfId="0" applyNumberFormat="1" applyAlignment="1">
      <alignment horizontal="center" vertical="center"/>
    </xf>
  </cellXfs>
  <cellStyles count="3">
    <cellStyle name="Accent5" xfId="2" builtinId="45"/>
    <cellStyle name="Normal" xfId="0" builtinId="0"/>
    <cellStyle name="Percent" xfId="1" builtinId="5"/>
  </cellStyles>
  <dxfs count="473">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numFmt numFmtId="175" formatCode="#,##0.00\ &quot;ر.س.‏&quot;"/>
    </dxf>
    <dxf>
      <numFmt numFmtId="173" formatCode="[$$-540A]#,##0.00"/>
    </dxf>
    <dxf>
      <numFmt numFmtId="0" formatCode="General"/>
    </dxf>
    <dxf>
      <numFmt numFmtId="174" formatCode="[$$-540A]#,##0.000"/>
    </dxf>
    <dxf>
      <numFmt numFmtId="173" formatCode="[$$-540A]#,##0.00"/>
    </dxf>
    <dxf>
      <numFmt numFmtId="172" formatCode="[$$-540A]#,##0.0"/>
    </dxf>
    <dxf>
      <numFmt numFmtId="164" formatCode="[$$-540A]#,##0"/>
    </dxf>
    <dxf>
      <numFmt numFmtId="171" formatCode="0.000000"/>
    </dxf>
    <dxf>
      <numFmt numFmtId="170" formatCode="0.00000"/>
    </dxf>
    <dxf>
      <numFmt numFmtId="169" formatCode="0.0000"/>
    </dxf>
    <dxf>
      <numFmt numFmtId="168" formatCode="0.000"/>
    </dxf>
    <dxf>
      <numFmt numFmtId="2" formatCode="0.00"/>
    </dxf>
    <dxf>
      <numFmt numFmtId="167" formatCode="0.0"/>
    </dxf>
    <dxf>
      <numFmt numFmtId="1" formatCode="0"/>
    </dxf>
    <dxf>
      <numFmt numFmtId="168" formatCode="0.000"/>
    </dxf>
    <dxf>
      <numFmt numFmtId="2" formatCode="0.00"/>
    </dxf>
    <dxf>
      <numFmt numFmtId="167" formatCode="0.0"/>
    </dxf>
    <dxf>
      <numFmt numFmtId="1" formatCode="0"/>
    </dxf>
    <dxf>
      <numFmt numFmtId="167" formatCode="0.0"/>
    </dxf>
    <dxf>
      <numFmt numFmtId="1" formatCode="0"/>
    </dxf>
    <dxf>
      <numFmt numFmtId="167" formatCode="0.0"/>
    </dxf>
    <dxf>
      <numFmt numFmtId="2" formatCode="0.00"/>
    </dxf>
    <dxf>
      <numFmt numFmtId="14" formatCode="0.00%"/>
    </dxf>
    <dxf>
      <numFmt numFmtId="166" formatCode="0.0%"/>
    </dxf>
    <dxf>
      <numFmt numFmtId="13" formatCode="0%"/>
    </dxf>
    <dxf>
      <alignment horizontal="general" vertical="bottom" textRotation="0" wrapText="0" indent="0" justifyLastLine="0" shrinkToFit="0" readingOrder="0"/>
    </dxf>
    <dxf>
      <alignment horizontal="general" vertical="bottom" textRotation="0" wrapText="0" indent="0" justifyLastLine="0" shrinkToFit="0" readingOrder="0"/>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vertical="center" readingOrder="0"/>
    </dxf>
    <dxf>
      <alignment vertical="center" readingOrder="0"/>
    </dxf>
    <dxf>
      <alignment horizontal="center" readingOrder="0"/>
    </dxf>
    <dxf>
      <alignment horizontal="center" readingOrder="0"/>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center" readingOrder="0"/>
    </dxf>
    <dxf>
      <alignment horizontal="center" readingOrder="0"/>
    </dxf>
    <dxf>
      <alignment vertical="center" readingOrder="0"/>
    </dxf>
    <dxf>
      <alignment vertical="center" readingOrder="0"/>
    </dxf>
    <dxf>
      <font>
        <sz val="12"/>
      </font>
    </dxf>
    <dxf>
      <font>
        <sz val="12"/>
      </font>
    </dxf>
    <dxf>
      <font>
        <name val="Arial"/>
        <scheme val="none"/>
      </font>
    </dxf>
    <dxf>
      <font>
        <name val="Arial"/>
        <scheme val="none"/>
      </font>
    </dxf>
    <dxf>
      <font>
        <b/>
      </font>
    </dxf>
    <dxf>
      <font>
        <b/>
      </font>
    </dxf>
    <dxf>
      <font>
        <name val="Arial"/>
        <scheme val="none"/>
      </font>
    </dxf>
    <dxf>
      <font>
        <sz val="12"/>
      </font>
    </dxf>
    <dxf>
      <font>
        <sz val="14"/>
      </font>
    </dxf>
    <dxf>
      <font>
        <b/>
      </font>
    </dxf>
    <dxf>
      <font>
        <sz val="14"/>
      </font>
    </dxf>
    <dxf>
      <font>
        <sz val="14"/>
      </font>
    </dxf>
    <dxf>
      <font>
        <sz val="16"/>
      </font>
    </dxf>
    <dxf>
      <font>
        <sz val="16"/>
      </font>
    </dxf>
    <dxf>
      <font>
        <sz val="12"/>
      </font>
    </dxf>
    <dxf>
      <font>
        <sz val="12"/>
      </font>
    </dxf>
    <dxf>
      <font>
        <sz val="14"/>
      </font>
    </dxf>
    <dxf>
      <font>
        <sz val="14"/>
      </font>
    </dxf>
    <dxf>
      <font>
        <sz val="16"/>
      </font>
    </dxf>
    <dxf>
      <font>
        <sz val="16"/>
      </font>
    </dxf>
    <dxf>
      <font>
        <name val="Arial"/>
        <scheme val="none"/>
      </font>
    </dxf>
    <dxf>
      <font>
        <name val="Arial"/>
        <scheme val="none"/>
      </font>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numFmt numFmtId="1" formatCode="0"/>
      <alignment horizontal="center" vertical="center" textRotation="0" wrapText="0" indent="0" justifyLastLine="0" shrinkToFit="0" readingOrder="0"/>
    </dxf>
    <dxf>
      <alignment horizontal="center" readingOrder="0"/>
    </dxf>
    <dxf>
      <alignment vertical="center" readingOrder="0"/>
    </dxf>
    <dxf>
      <alignment horizontal="right" readingOrder="0"/>
    </dxf>
    <dxf>
      <alignment vertical="bottom" readingOrder="0"/>
    </dxf>
    <dxf>
      <numFmt numFmtId="2" formatCode="0.00"/>
    </dxf>
    <dxf>
      <numFmt numFmtId="167" formatCode="0.0"/>
    </dxf>
    <dxf>
      <numFmt numFmtId="1" formatCode="0"/>
    </dxf>
    <dxf>
      <alignment horizontal="general" vertical="bottom" textRotation="0" wrapText="0" indent="0" justifyLastLine="0" shrinkToFit="0" readingOrder="0"/>
    </dxf>
    <dxf>
      <numFmt numFmtId="175" formatCode="#,##0.00\ &quot;ر.س.‏&quot;"/>
    </dxf>
    <dxf>
      <numFmt numFmtId="173" formatCode="[$$-540A]#,##0.00"/>
    </dxf>
    <dxf>
      <numFmt numFmtId="0" formatCode="General"/>
    </dxf>
    <dxf>
      <numFmt numFmtId="174" formatCode="[$$-540A]#,##0.000"/>
    </dxf>
    <dxf>
      <numFmt numFmtId="173" formatCode="[$$-540A]#,##0.00"/>
    </dxf>
    <dxf>
      <numFmt numFmtId="172" formatCode="[$$-540A]#,##0.0"/>
    </dxf>
    <dxf>
      <numFmt numFmtId="164" formatCode="[$$-540A]#,##0"/>
    </dxf>
    <dxf>
      <numFmt numFmtId="171" formatCode="0.000000"/>
    </dxf>
    <dxf>
      <numFmt numFmtId="170" formatCode="0.00000"/>
    </dxf>
    <dxf>
      <numFmt numFmtId="169" formatCode="0.0000"/>
    </dxf>
    <dxf>
      <numFmt numFmtId="168" formatCode="0.000"/>
    </dxf>
    <dxf>
      <numFmt numFmtId="2" formatCode="0.00"/>
    </dxf>
    <dxf>
      <numFmt numFmtId="167" formatCode="0.0"/>
    </dxf>
    <dxf>
      <numFmt numFmtId="1" formatCode="0"/>
    </dxf>
    <dxf>
      <numFmt numFmtId="168" formatCode="0.000"/>
    </dxf>
    <dxf>
      <numFmt numFmtId="2" formatCode="0.00"/>
    </dxf>
    <dxf>
      <numFmt numFmtId="167" formatCode="0.0"/>
    </dxf>
    <dxf>
      <numFmt numFmtId="1" formatCode="0"/>
    </dxf>
    <dxf>
      <numFmt numFmtId="167" formatCode="0.0"/>
    </dxf>
    <dxf>
      <numFmt numFmtId="1" formatCode="0"/>
    </dxf>
    <dxf>
      <numFmt numFmtId="167" formatCode="0.0"/>
    </dxf>
    <dxf>
      <numFmt numFmtId="2" formatCode="0.00"/>
    </dxf>
    <dxf>
      <numFmt numFmtId="14" formatCode="0.00%"/>
    </dxf>
    <dxf>
      <numFmt numFmtId="166" formatCode="0.0%"/>
    </dxf>
    <dxf>
      <numFmt numFmtId="13" formatCode="0%"/>
    </dxf>
    <dxf>
      <alignment horizontal="general" vertical="bottom" textRotation="0" wrapText="0" indent="0" justifyLastLine="0" shrinkToFit="0" readingOrder="0"/>
    </dxf>
    <dxf>
      <numFmt numFmtId="1" formatCode="0"/>
    </dxf>
    <dxf>
      <numFmt numFmtId="167" formatCode="0.0"/>
    </dxf>
    <dxf>
      <numFmt numFmtId="2" formatCode="0.00"/>
    </dxf>
    <dxf>
      <alignment vertical="bottom" readingOrder="0"/>
    </dxf>
    <dxf>
      <alignment horizontal="right" readingOrder="0"/>
    </dxf>
    <dxf>
      <alignment vertical="center" readingOrder="0"/>
    </dxf>
    <dxf>
      <alignment horizontal="center" readingOrder="0"/>
    </dxf>
    <dxf>
      <alignment horizontal="general" vertical="bottom" textRotation="0" wrapText="0" indent="0" justifyLastLine="0" shrinkToFit="0" readingOrder="0"/>
    </dxf>
    <dxf>
      <numFmt numFmtId="13" formatCode="0%"/>
    </dxf>
    <dxf>
      <numFmt numFmtId="166" formatCode="0.0%"/>
    </dxf>
    <dxf>
      <numFmt numFmtId="14" formatCode="0.00%"/>
    </dxf>
    <dxf>
      <numFmt numFmtId="2" formatCode="0.00"/>
    </dxf>
    <dxf>
      <numFmt numFmtId="167" formatCode="0.0"/>
    </dxf>
    <dxf>
      <numFmt numFmtId="1" formatCode="0"/>
    </dxf>
    <dxf>
      <numFmt numFmtId="167" formatCode="0.0"/>
    </dxf>
    <dxf>
      <numFmt numFmtId="1" formatCode="0"/>
    </dxf>
    <dxf>
      <numFmt numFmtId="167" formatCode="0.0"/>
    </dxf>
    <dxf>
      <numFmt numFmtId="2" formatCode="0.00"/>
    </dxf>
    <dxf>
      <numFmt numFmtId="168" formatCode="0.000"/>
    </dxf>
    <dxf>
      <numFmt numFmtId="1" formatCode="0"/>
    </dxf>
    <dxf>
      <numFmt numFmtId="167" formatCode="0.0"/>
    </dxf>
    <dxf>
      <numFmt numFmtId="2" formatCode="0.00"/>
    </dxf>
    <dxf>
      <numFmt numFmtId="168" formatCode="0.000"/>
    </dxf>
    <dxf>
      <numFmt numFmtId="169" formatCode="0.0000"/>
    </dxf>
    <dxf>
      <numFmt numFmtId="170" formatCode="0.00000"/>
    </dxf>
    <dxf>
      <numFmt numFmtId="171" formatCode="0.000000"/>
    </dxf>
    <dxf>
      <numFmt numFmtId="164" formatCode="[$$-540A]#,##0"/>
    </dxf>
    <dxf>
      <numFmt numFmtId="172" formatCode="[$$-540A]#,##0.0"/>
    </dxf>
    <dxf>
      <numFmt numFmtId="173" formatCode="[$$-540A]#,##0.00"/>
    </dxf>
    <dxf>
      <numFmt numFmtId="174" formatCode="[$$-540A]#,##0.000"/>
    </dxf>
    <dxf>
      <numFmt numFmtId="0" formatCode="General"/>
    </dxf>
    <dxf>
      <numFmt numFmtId="173" formatCode="[$$-540A]#,##0.00"/>
    </dxf>
    <dxf>
      <numFmt numFmtId="175" formatCode="#,##0.00\ &quot;ر.س.‏&quot;"/>
    </dxf>
    <dxf>
      <alignment horizontal="general" vertical="bottom" textRotation="0" wrapText="0" indent="0" justifyLastLine="0" shrinkToFit="0" readingOrder="0"/>
    </dxf>
    <dxf>
      <font>
        <name val="Arial"/>
        <scheme val="none"/>
      </font>
    </dxf>
    <dxf>
      <font>
        <name val="Arial"/>
        <scheme val="none"/>
      </font>
    </dxf>
    <dxf>
      <font>
        <sz val="16"/>
      </font>
    </dxf>
    <dxf>
      <font>
        <sz val="16"/>
      </font>
    </dxf>
    <dxf>
      <font>
        <sz val="14"/>
      </font>
    </dxf>
    <dxf>
      <font>
        <sz val="14"/>
      </font>
    </dxf>
    <dxf>
      <font>
        <sz val="12"/>
      </font>
    </dxf>
    <dxf>
      <font>
        <sz val="12"/>
      </font>
    </dxf>
    <dxf>
      <font>
        <sz val="16"/>
      </font>
    </dxf>
    <dxf>
      <font>
        <sz val="16"/>
      </font>
    </dxf>
    <dxf>
      <font>
        <sz val="14"/>
      </font>
    </dxf>
    <dxf>
      <font>
        <sz val="14"/>
      </font>
    </dxf>
    <dxf>
      <font>
        <b/>
      </font>
    </dxf>
    <dxf>
      <font>
        <sz val="14"/>
      </font>
    </dxf>
    <dxf>
      <font>
        <sz val="12"/>
      </font>
    </dxf>
    <dxf>
      <font>
        <name val="Arial"/>
        <scheme val="none"/>
      </font>
    </dxf>
    <dxf>
      <font>
        <b/>
      </font>
    </dxf>
    <dxf>
      <font>
        <b/>
      </font>
    </dxf>
    <dxf>
      <font>
        <name val="Arial"/>
        <scheme val="none"/>
      </font>
    </dxf>
    <dxf>
      <font>
        <name val="Arial"/>
        <scheme val="none"/>
      </font>
    </dxf>
    <dxf>
      <font>
        <sz val="12"/>
      </font>
    </dxf>
    <dxf>
      <font>
        <sz val="12"/>
      </font>
    </dxf>
    <dxf>
      <alignment vertical="center" readingOrder="0"/>
    </dxf>
    <dxf>
      <alignment vertical="center" readingOrder="0"/>
    </dxf>
    <dxf>
      <alignment horizontal="center" readingOrder="0"/>
    </dxf>
    <dxf>
      <alignment horizontal="center" readingOrder="0"/>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horizontal="center" readingOrder="0"/>
    </dxf>
    <dxf>
      <alignment horizontal="center" readingOrder="0"/>
    </dxf>
    <dxf>
      <alignment vertical="center" readingOrder="0"/>
    </dxf>
    <dxf>
      <alignment vertical="center" readingOrder="0"/>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border>
        <left style="thick">
          <color auto="1"/>
        </left>
        <right style="thick">
          <color auto="1"/>
        </right>
        <bottom style="thick">
          <color auto="1"/>
        </bottom>
      </border>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165" formatCode="[$$-409]#,##0"/>
    </dxf>
    <dxf>
      <numFmt numFmtId="176" formatCode="d/mm/yyyy"/>
    </dxf>
  </dxfs>
  <tableStyles count="0" defaultTableStyle="TableStyleMedium2" defaultPivotStyle="PivotStyleLight16"/>
  <colors>
    <mruColors>
      <color rgb="FFCC00CC"/>
      <color rgb="FFF2EFF5"/>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(3) (Recovered).xlsx]PivotTableReport!Calls_Reached_2</c:name>
    <c:fmtId val="1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marker>
          <c:symbol val="none"/>
        </c:marker>
      </c:pivotFmt>
    </c:pivotFmts>
    <c:plotArea>
      <c:layout/>
      <c:barChart>
        <c:barDir val="col"/>
        <c:grouping val="percentStacked"/>
        <c:varyColors val="0"/>
        <c:ser>
          <c:idx val="0"/>
          <c:order val="0"/>
          <c:tx>
            <c:strRef>
              <c:f>PivotTableReport!$S$18</c:f>
              <c:strCache>
                <c:ptCount val="1"/>
                <c:pt idx="0">
                  <c:v>Sum of Calls Reached</c:v>
                </c:pt>
              </c:strCache>
            </c:strRef>
          </c:tx>
          <c:spPr>
            <a:solidFill>
              <a:schemeClr val="accent1"/>
            </a:solidFill>
            <a:ln>
              <a:noFill/>
            </a:ln>
            <a:effectLst/>
          </c:spPr>
          <c:invertIfNegative val="0"/>
          <c:cat>
            <c:strRef>
              <c:f>PivotTableReport!$R$19:$R$31</c:f>
              <c:strCache>
                <c:ptCount val="12"/>
                <c:pt idx="0">
                  <c:v>يناير</c:v>
                </c:pt>
                <c:pt idx="1">
                  <c:v>فبراير</c:v>
                </c:pt>
                <c:pt idx="2">
                  <c:v>مارس</c:v>
                </c:pt>
                <c:pt idx="3">
                  <c:v>أبريل</c:v>
                </c:pt>
                <c:pt idx="4">
                  <c:v>مايو</c:v>
                </c:pt>
                <c:pt idx="5">
                  <c:v>يونيو</c:v>
                </c:pt>
                <c:pt idx="6">
                  <c:v>يوليه</c:v>
                </c:pt>
                <c:pt idx="7">
                  <c:v>أغسطس</c:v>
                </c:pt>
                <c:pt idx="8">
                  <c:v>سبتمبر</c:v>
                </c:pt>
                <c:pt idx="9">
                  <c:v>أكتوبر</c:v>
                </c:pt>
                <c:pt idx="10">
                  <c:v>نوفمبر</c:v>
                </c:pt>
                <c:pt idx="11">
                  <c:v>ديسمبر</c:v>
                </c:pt>
              </c:strCache>
            </c:strRef>
          </c:cat>
          <c:val>
            <c:numRef>
              <c:f>PivotTableReport!$S$19:$S$31</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CEF3-4362-B956-6C1C2260A982}"/>
            </c:ext>
          </c:extLst>
        </c:ser>
        <c:ser>
          <c:idx val="1"/>
          <c:order val="1"/>
          <c:tx>
            <c:strRef>
              <c:f>PivotTableReport!$T$18</c:f>
              <c:strCache>
                <c:ptCount val="1"/>
                <c:pt idx="0">
                  <c:v>Sum of Deals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PivotTableReport!$R$19:$R$31</c:f>
              <c:strCache>
                <c:ptCount val="12"/>
                <c:pt idx="0">
                  <c:v>يناير</c:v>
                </c:pt>
                <c:pt idx="1">
                  <c:v>فبراير</c:v>
                </c:pt>
                <c:pt idx="2">
                  <c:v>مارس</c:v>
                </c:pt>
                <c:pt idx="3">
                  <c:v>أبريل</c:v>
                </c:pt>
                <c:pt idx="4">
                  <c:v>مايو</c:v>
                </c:pt>
                <c:pt idx="5">
                  <c:v>يونيو</c:v>
                </c:pt>
                <c:pt idx="6">
                  <c:v>يوليه</c:v>
                </c:pt>
                <c:pt idx="7">
                  <c:v>أغسطس</c:v>
                </c:pt>
                <c:pt idx="8">
                  <c:v>سبتمبر</c:v>
                </c:pt>
                <c:pt idx="9">
                  <c:v>أكتوبر</c:v>
                </c:pt>
                <c:pt idx="10">
                  <c:v>نوفمبر</c:v>
                </c:pt>
                <c:pt idx="11">
                  <c:v>ديسمبر</c:v>
                </c:pt>
              </c:strCache>
            </c:strRef>
          </c:cat>
          <c:val>
            <c:numRef>
              <c:f>PivotTableReport!$T$19:$T$31</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CEF3-4362-B956-6C1C2260A982}"/>
            </c:ext>
          </c:extLst>
        </c:ser>
        <c:dLbls>
          <c:showLegendKey val="0"/>
          <c:showVal val="0"/>
          <c:showCatName val="0"/>
          <c:showSerName val="0"/>
          <c:showPercent val="0"/>
          <c:showBubbleSize val="0"/>
        </c:dLbls>
        <c:gapWidth val="22"/>
        <c:overlap val="100"/>
        <c:axId val="1226237040"/>
        <c:axId val="1226237872"/>
      </c:barChart>
      <c:catAx>
        <c:axId val="122623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26237872"/>
        <c:crosses val="autoZero"/>
        <c:auto val="1"/>
        <c:lblAlgn val="ctr"/>
        <c:lblOffset val="100"/>
        <c:noMultiLvlLbl val="0"/>
      </c:catAx>
      <c:valAx>
        <c:axId val="1226237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2623704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(3) (Recovered).xlsx]PivotTableReport!Total_Calls_1</c:name>
    <c:fmtId val="21"/>
  </c:pivotSource>
  <c:chart>
    <c:title>
      <c:tx>
        <c:rich>
          <a:bodyPr rot="0" spcFirstLastPara="1" vertOverflow="ellipsis" vert="horz" wrap="square" anchor="t" anchorCtr="0"/>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a:latin typeface="Arial" panose="020B0604020202020204" pitchFamily="34" charset="0"/>
                <a:cs typeface="Arial" panose="020B0604020202020204" pitchFamily="34" charset="0"/>
              </a:rPr>
              <a:t>Total Sales</a:t>
            </a:r>
          </a:p>
        </c:rich>
      </c:tx>
      <c:layout>
        <c:manualLayout>
          <c:xMode val="edge"/>
          <c:yMode val="edge"/>
          <c:x val="5.1906035498531802E-2"/>
          <c:y val="1.7730496453900711E-2"/>
        </c:manualLayout>
      </c:layout>
      <c:overlay val="0"/>
      <c:spPr>
        <a:noFill/>
        <a:ln>
          <a:noFill/>
        </a:ln>
        <a:effectLst/>
      </c:spPr>
      <c:txPr>
        <a:bodyPr rot="0" spcFirstLastPara="1" vertOverflow="ellipsis" vert="horz" wrap="square" anchor="t" anchorCtr="0"/>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CC00CC"/>
          </a:solidFill>
          <a:ln>
            <a:noFill/>
          </a:ln>
          <a:effectLst>
            <a:glow rad="812800">
              <a:srgbClr val="7030A0">
                <a:alpha val="40000"/>
              </a:srgbClr>
            </a:glow>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percentStacked"/>
        <c:varyColors val="0"/>
        <c:ser>
          <c:idx val="0"/>
          <c:order val="0"/>
          <c:tx>
            <c:strRef>
              <c:f>PivotTableReport!$W$18</c:f>
              <c:strCache>
                <c:ptCount val="1"/>
                <c:pt idx="0">
                  <c:v>Total</c:v>
                </c:pt>
              </c:strCache>
            </c:strRef>
          </c:tx>
          <c:spPr>
            <a:solidFill>
              <a:schemeClr val="accent1"/>
            </a:solidFill>
            <a:ln>
              <a:noFill/>
            </a:ln>
            <a:effectLst/>
          </c:spPr>
          <c:invertIfNegative val="0"/>
          <c:cat>
            <c:strRef>
              <c:f>PivotTableReport!$V$19:$V$31</c:f>
              <c:strCache>
                <c:ptCount val="12"/>
                <c:pt idx="0">
                  <c:v>يناير</c:v>
                </c:pt>
                <c:pt idx="1">
                  <c:v>فبراير</c:v>
                </c:pt>
                <c:pt idx="2">
                  <c:v>مارس</c:v>
                </c:pt>
                <c:pt idx="3">
                  <c:v>أبريل</c:v>
                </c:pt>
                <c:pt idx="4">
                  <c:v>مايو</c:v>
                </c:pt>
                <c:pt idx="5">
                  <c:v>يونيو</c:v>
                </c:pt>
                <c:pt idx="6">
                  <c:v>يوليه</c:v>
                </c:pt>
                <c:pt idx="7">
                  <c:v>أغسطس</c:v>
                </c:pt>
                <c:pt idx="8">
                  <c:v>سبتمبر</c:v>
                </c:pt>
                <c:pt idx="9">
                  <c:v>أكتوبر</c:v>
                </c:pt>
                <c:pt idx="10">
                  <c:v>نوفمبر</c:v>
                </c:pt>
                <c:pt idx="11">
                  <c:v>ديسمبر</c:v>
                </c:pt>
              </c:strCache>
            </c:strRef>
          </c:cat>
          <c:val>
            <c:numRef>
              <c:f>PivotTableReport!$W$19:$W$31</c:f>
              <c:numCache>
                <c:formatCode>General</c:formatCode>
                <c:ptCount val="12"/>
                <c:pt idx="0">
                  <c:v>1511</c:v>
                </c:pt>
                <c:pt idx="1">
                  <c:v>1501</c:v>
                </c:pt>
                <c:pt idx="2">
                  <c:v>1488</c:v>
                </c:pt>
                <c:pt idx="3">
                  <c:v>1547</c:v>
                </c:pt>
                <c:pt idx="4">
                  <c:v>1517</c:v>
                </c:pt>
                <c:pt idx="5">
                  <c:v>1527</c:v>
                </c:pt>
                <c:pt idx="6">
                  <c:v>1498</c:v>
                </c:pt>
                <c:pt idx="7">
                  <c:v>1564</c:v>
                </c:pt>
                <c:pt idx="8">
                  <c:v>1562</c:v>
                </c:pt>
                <c:pt idx="9">
                  <c:v>1531</c:v>
                </c:pt>
                <c:pt idx="10">
                  <c:v>1503</c:v>
                </c:pt>
                <c:pt idx="11">
                  <c:v>1551</c:v>
                </c:pt>
              </c:numCache>
            </c:numRef>
          </c:val>
          <c:extLst>
            <c:ext xmlns:c16="http://schemas.microsoft.com/office/drawing/2014/chart" uri="{C3380CC4-5D6E-409C-BE32-E72D297353CC}">
              <c16:uniqueId val="{00000000-C01E-42ED-9B09-166D6D3C1148}"/>
            </c:ext>
          </c:extLst>
        </c:ser>
        <c:dLbls>
          <c:showLegendKey val="0"/>
          <c:showVal val="0"/>
          <c:showCatName val="0"/>
          <c:showSerName val="0"/>
          <c:showPercent val="0"/>
          <c:showBubbleSize val="0"/>
        </c:dLbls>
        <c:gapWidth val="44"/>
        <c:overlap val="100"/>
        <c:axId val="1656348768"/>
        <c:axId val="1656368736"/>
      </c:barChart>
      <c:catAx>
        <c:axId val="16563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56368736"/>
        <c:crosses val="autoZero"/>
        <c:auto val="1"/>
        <c:lblAlgn val="ctr"/>
        <c:lblOffset val="100"/>
        <c:noMultiLvlLbl val="0"/>
      </c:catAx>
      <c:valAx>
        <c:axId val="1656368736"/>
        <c:scaling>
          <c:orientation val="minMax"/>
        </c:scaling>
        <c:delete val="0"/>
        <c:axPos val="l"/>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56348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(3) (Recovered).xlsx]PivotTableReport!Call_Drop_1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Call Drop Rate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areaChart>
        <c:grouping val="standard"/>
        <c:varyColors val="0"/>
        <c:ser>
          <c:idx val="0"/>
          <c:order val="0"/>
          <c:tx>
            <c:strRef>
              <c:f>PivotTableReport!$AC$18</c:f>
              <c:strCache>
                <c:ptCount val="1"/>
                <c:pt idx="0">
                  <c:v>Total</c:v>
                </c:pt>
              </c:strCache>
            </c:strRef>
          </c:tx>
          <c:spPr>
            <a:solidFill>
              <a:schemeClr val="accent1"/>
            </a:solidFill>
            <a:ln>
              <a:noFill/>
            </a:ln>
            <a:effectLst/>
          </c:spPr>
          <c:cat>
            <c:strRef>
              <c:f>PivotTableReport!$AB$19:$AB$31</c:f>
              <c:strCache>
                <c:ptCount val="12"/>
                <c:pt idx="0">
                  <c:v>يناير</c:v>
                </c:pt>
                <c:pt idx="1">
                  <c:v>فبراير</c:v>
                </c:pt>
                <c:pt idx="2">
                  <c:v>مارس</c:v>
                </c:pt>
                <c:pt idx="3">
                  <c:v>أبريل</c:v>
                </c:pt>
                <c:pt idx="4">
                  <c:v>مايو</c:v>
                </c:pt>
                <c:pt idx="5">
                  <c:v>يونيو</c:v>
                </c:pt>
                <c:pt idx="6">
                  <c:v>يوليه</c:v>
                </c:pt>
                <c:pt idx="7">
                  <c:v>أغسطس</c:v>
                </c:pt>
                <c:pt idx="8">
                  <c:v>سبتمبر</c:v>
                </c:pt>
                <c:pt idx="9">
                  <c:v>أكتوبر</c:v>
                </c:pt>
                <c:pt idx="10">
                  <c:v>نوفمبر</c:v>
                </c:pt>
                <c:pt idx="11">
                  <c:v>ديسمبر</c:v>
                </c:pt>
              </c:strCache>
            </c:strRef>
          </c:cat>
          <c:val>
            <c:numRef>
              <c:f>PivotTableReport!$AC$19:$AC$31</c:f>
              <c:numCache>
                <c:formatCode>General</c:formatCode>
                <c:ptCount val="12"/>
                <c:pt idx="0">
                  <c:v>1.2944999999999998</c:v>
                </c:pt>
                <c:pt idx="1">
                  <c:v>1.3083</c:v>
                </c:pt>
                <c:pt idx="2">
                  <c:v>1.2968999999999999</c:v>
                </c:pt>
                <c:pt idx="3">
                  <c:v>1.2936000000000001</c:v>
                </c:pt>
                <c:pt idx="4">
                  <c:v>1.3026999999999997</c:v>
                </c:pt>
                <c:pt idx="5">
                  <c:v>1.2805000000000002</c:v>
                </c:pt>
                <c:pt idx="6">
                  <c:v>1.2975000000000001</c:v>
                </c:pt>
                <c:pt idx="7">
                  <c:v>1.3157000000000001</c:v>
                </c:pt>
                <c:pt idx="8">
                  <c:v>1.3006999999999997</c:v>
                </c:pt>
                <c:pt idx="9">
                  <c:v>1.2853999999999999</c:v>
                </c:pt>
                <c:pt idx="10">
                  <c:v>1.2805</c:v>
                </c:pt>
                <c:pt idx="11">
                  <c:v>1.2999000000000005</c:v>
                </c:pt>
              </c:numCache>
            </c:numRef>
          </c:val>
          <c:extLst>
            <c:ext xmlns:c16="http://schemas.microsoft.com/office/drawing/2014/chart" uri="{C3380CC4-5D6E-409C-BE32-E72D297353CC}">
              <c16:uniqueId val="{00000000-8075-4367-AB81-3E92445B7FEA}"/>
            </c:ext>
          </c:extLst>
        </c:ser>
        <c:dLbls>
          <c:showLegendKey val="0"/>
          <c:showVal val="0"/>
          <c:showCatName val="0"/>
          <c:showSerName val="0"/>
          <c:showPercent val="0"/>
          <c:showBubbleSize val="0"/>
        </c:dLbls>
        <c:axId val="1671688416"/>
        <c:axId val="1671710880"/>
      </c:areaChart>
      <c:catAx>
        <c:axId val="167168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1710880"/>
        <c:crosses val="autoZero"/>
        <c:auto val="1"/>
        <c:lblAlgn val="ctr"/>
        <c:lblOffset val="100"/>
        <c:noMultiLvlLbl val="0"/>
      </c:catAx>
      <c:valAx>
        <c:axId val="167171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16884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(3) (Recovered).xlsx]PivotTableReport!Average_Duration_1</c:name>
    <c:fmtId val="2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b="1">
                <a:latin typeface="Arial" panose="020B0604020202020204" pitchFamily="34" charset="0"/>
                <a:cs typeface="Arial" panose="020B0604020202020204" pitchFamily="34" charset="0"/>
              </a:rPr>
              <a:t>Average Call Duration (Seconds)</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PivotTableReport!$Z$18</c:f>
              <c:strCache>
                <c:ptCount val="1"/>
                <c:pt idx="0">
                  <c:v>Total</c:v>
                </c:pt>
              </c:strCache>
            </c:strRef>
          </c:tx>
          <c:spPr>
            <a:solidFill>
              <a:schemeClr val="accent1"/>
            </a:solidFill>
            <a:ln>
              <a:noFill/>
            </a:ln>
            <a:effectLst/>
          </c:spPr>
          <c:invertIfNegative val="0"/>
          <c:cat>
            <c:strRef>
              <c:f>PivotTableReport!$Y$19:$Y$31</c:f>
              <c:strCache>
                <c:ptCount val="12"/>
                <c:pt idx="0">
                  <c:v>أبريل</c:v>
                </c:pt>
                <c:pt idx="1">
                  <c:v>سبتمبر</c:v>
                </c:pt>
                <c:pt idx="2">
                  <c:v>مايو</c:v>
                </c:pt>
                <c:pt idx="3">
                  <c:v>نوفمبر</c:v>
                </c:pt>
                <c:pt idx="4">
                  <c:v>أغسطس</c:v>
                </c:pt>
                <c:pt idx="5">
                  <c:v>فبراير</c:v>
                </c:pt>
                <c:pt idx="6">
                  <c:v>أكتوبر</c:v>
                </c:pt>
                <c:pt idx="7">
                  <c:v>مارس</c:v>
                </c:pt>
                <c:pt idx="8">
                  <c:v>يناير</c:v>
                </c:pt>
                <c:pt idx="9">
                  <c:v>يونيو</c:v>
                </c:pt>
                <c:pt idx="10">
                  <c:v>يوليه</c:v>
                </c:pt>
                <c:pt idx="11">
                  <c:v>ديسمبر</c:v>
                </c:pt>
              </c:strCache>
            </c:strRef>
          </c:cat>
          <c:val>
            <c:numRef>
              <c:f>PivotTableReport!$Z$19:$Z$31</c:f>
              <c:numCache>
                <c:formatCode>0</c:formatCode>
                <c:ptCount val="12"/>
                <c:pt idx="0">
                  <c:v>345.99730769230769</c:v>
                </c:pt>
                <c:pt idx="1">
                  <c:v>345.91615384615386</c:v>
                </c:pt>
                <c:pt idx="2">
                  <c:v>344.52230769230766</c:v>
                </c:pt>
                <c:pt idx="3">
                  <c:v>344.24499999999995</c:v>
                </c:pt>
                <c:pt idx="4">
                  <c:v>342.92230769230775</c:v>
                </c:pt>
                <c:pt idx="5">
                  <c:v>342.74192307692317</c:v>
                </c:pt>
                <c:pt idx="6">
                  <c:v>342.63153846153841</c:v>
                </c:pt>
                <c:pt idx="7">
                  <c:v>342.38307692307689</c:v>
                </c:pt>
                <c:pt idx="8">
                  <c:v>341.35307692307691</c:v>
                </c:pt>
                <c:pt idx="9">
                  <c:v>339.86807692307684</c:v>
                </c:pt>
                <c:pt idx="10">
                  <c:v>338.6426923076923</c:v>
                </c:pt>
                <c:pt idx="11">
                  <c:v>336.32653846153846</c:v>
                </c:pt>
              </c:numCache>
            </c:numRef>
          </c:val>
          <c:extLst>
            <c:ext xmlns:c16="http://schemas.microsoft.com/office/drawing/2014/chart" uri="{C3380CC4-5D6E-409C-BE32-E72D297353CC}">
              <c16:uniqueId val="{00000000-3F45-4DF5-87CD-86DEEA08B546}"/>
            </c:ext>
          </c:extLst>
        </c:ser>
        <c:dLbls>
          <c:showLegendKey val="0"/>
          <c:showVal val="0"/>
          <c:showCatName val="0"/>
          <c:showSerName val="0"/>
          <c:showPercent val="0"/>
          <c:showBubbleSize val="0"/>
        </c:dLbls>
        <c:gapWidth val="219"/>
        <c:overlap val="-27"/>
        <c:axId val="1518660656"/>
        <c:axId val="1518653584"/>
      </c:barChart>
      <c:catAx>
        <c:axId val="15186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18653584"/>
        <c:crosses val="autoZero"/>
        <c:auto val="1"/>
        <c:lblAlgn val="ctr"/>
        <c:lblOffset val="100"/>
        <c:noMultiLvlLbl val="0"/>
      </c:catAx>
      <c:valAx>
        <c:axId val="151865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18660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22860</xdr:rowOff>
    </xdr:from>
    <xdr:to>
      <xdr:col>0</xdr:col>
      <xdr:colOff>0</xdr:colOff>
      <xdr:row>18</xdr:row>
      <xdr:rowOff>15240</xdr:rowOff>
    </xdr:to>
    <xdr:sp macro="" textlink="">
      <xdr:nvSpPr>
        <xdr:cNvPr id="3" name="Rectangle 2"/>
        <xdr:cNvSpPr/>
      </xdr:nvSpPr>
      <xdr:spPr>
        <a:xfrm>
          <a:off x="4953000" y="2529840"/>
          <a:ext cx="914400"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114300</xdr:rowOff>
    </xdr:from>
    <xdr:to>
      <xdr:col>3</xdr:col>
      <xdr:colOff>327660</xdr:colOff>
      <xdr:row>2</xdr:row>
      <xdr:rowOff>60960</xdr:rowOff>
    </xdr:to>
    <xdr:sp macro="" textlink="">
      <xdr:nvSpPr>
        <xdr:cNvPr id="4" name="Rectangle 3"/>
        <xdr:cNvSpPr/>
      </xdr:nvSpPr>
      <xdr:spPr>
        <a:xfrm>
          <a:off x="114300" y="114300"/>
          <a:ext cx="222504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latin typeface="Arial" panose="020B0604020202020204" pitchFamily="34" charset="0"/>
              <a:cs typeface="Arial" panose="020B0604020202020204" pitchFamily="34" charset="0"/>
            </a:rPr>
            <a:t>Sales</a:t>
          </a:r>
          <a:r>
            <a:rPr lang="en-US" sz="1800" b="1" baseline="0">
              <a:solidFill>
                <a:schemeClr val="bg1"/>
              </a:solidFill>
              <a:latin typeface="Arial" panose="020B0604020202020204" pitchFamily="34" charset="0"/>
              <a:cs typeface="Arial" panose="020B0604020202020204" pitchFamily="34" charset="0"/>
            </a:rPr>
            <a:t> </a:t>
          </a:r>
          <a:r>
            <a:rPr lang="en-US" sz="2000" b="1" baseline="0">
              <a:solidFill>
                <a:schemeClr val="bg1"/>
              </a:solidFill>
              <a:latin typeface="Arial" panose="020B0604020202020204" pitchFamily="34" charset="0"/>
              <a:cs typeface="Arial" panose="020B0604020202020204" pitchFamily="34" charset="0"/>
            </a:rPr>
            <a:t>Dashboard</a:t>
          </a:r>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2366</xdr:colOff>
      <xdr:row>2</xdr:row>
      <xdr:rowOff>60960</xdr:rowOff>
    </xdr:from>
    <xdr:to>
      <xdr:col>3</xdr:col>
      <xdr:colOff>1156139</xdr:colOff>
      <xdr:row>4</xdr:row>
      <xdr:rowOff>26276</xdr:rowOff>
    </xdr:to>
    <xdr:sp macro="" textlink="">
      <xdr:nvSpPr>
        <xdr:cNvPr id="5" name="Rectangle 4"/>
        <xdr:cNvSpPr/>
      </xdr:nvSpPr>
      <xdr:spPr>
        <a:xfrm>
          <a:off x="672400" y="415684"/>
          <a:ext cx="3452911" cy="3069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FFF00"/>
              </a:solidFill>
              <a:latin typeface="Arial" panose="020B0604020202020204" pitchFamily="34" charset="0"/>
              <a:cs typeface="Arial" panose="020B0604020202020204" pitchFamily="34" charset="0"/>
            </a:rPr>
            <a:t>Evaluating Sales</a:t>
          </a:r>
          <a:r>
            <a:rPr lang="en-US" sz="1400" b="1" baseline="0">
              <a:solidFill>
                <a:srgbClr val="FFFF00"/>
              </a:solidFill>
              <a:latin typeface="Arial" panose="020B0604020202020204" pitchFamily="34" charset="0"/>
              <a:cs typeface="Arial" panose="020B0604020202020204" pitchFamily="34" charset="0"/>
            </a:rPr>
            <a:t> Agent Performance</a:t>
          </a:r>
          <a:endParaRPr lang="en-US" sz="1400" b="1">
            <a:solidFill>
              <a:srgbClr val="FFFF00"/>
            </a:solidFill>
            <a:latin typeface="Arial" panose="020B0604020202020204" pitchFamily="34" charset="0"/>
            <a:cs typeface="Arial" panose="020B0604020202020204" pitchFamily="34" charset="0"/>
          </a:endParaRPr>
        </a:p>
      </xdr:txBody>
    </xdr:sp>
    <xdr:clientData/>
  </xdr:twoCellAnchor>
  <xdr:oneCellAnchor>
    <xdr:from>
      <xdr:col>8</xdr:col>
      <xdr:colOff>0</xdr:colOff>
      <xdr:row>11</xdr:row>
      <xdr:rowOff>0</xdr:rowOff>
    </xdr:from>
    <xdr:ext cx="184731" cy="252185"/>
    <xdr:sp macro="" textlink="">
      <xdr:nvSpPr>
        <xdr:cNvPr id="35" name="TextBox 34"/>
        <xdr:cNvSpPr txBox="1"/>
      </xdr:nvSpPr>
      <xdr:spPr>
        <a:xfrm>
          <a:off x="5364480" y="208788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13</xdr:col>
      <xdr:colOff>167640</xdr:colOff>
      <xdr:row>9</xdr:row>
      <xdr:rowOff>38100</xdr:rowOff>
    </xdr:from>
    <xdr:ext cx="184731" cy="252185"/>
    <xdr:sp macro="" textlink="">
      <xdr:nvSpPr>
        <xdr:cNvPr id="38" name="TextBox 37"/>
        <xdr:cNvSpPr txBox="1"/>
      </xdr:nvSpPr>
      <xdr:spPr>
        <a:xfrm>
          <a:off x="8884920" y="168402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388620</xdr:colOff>
      <xdr:row>1</xdr:row>
      <xdr:rowOff>7620</xdr:rowOff>
    </xdr:from>
    <xdr:to>
      <xdr:col>14</xdr:col>
      <xdr:colOff>137160</xdr:colOff>
      <xdr:row>5</xdr:row>
      <xdr:rowOff>60960</xdr:rowOff>
    </xdr:to>
    <xdr:grpSp>
      <xdr:nvGrpSpPr>
        <xdr:cNvPr id="79" name="Group 78"/>
        <xdr:cNvGrpSpPr/>
      </xdr:nvGrpSpPr>
      <xdr:grpSpPr>
        <a:xfrm>
          <a:off x="11976275" y="191551"/>
          <a:ext cx="3768747" cy="736512"/>
          <a:chOff x="5753100" y="190500"/>
          <a:chExt cx="3771900" cy="754380"/>
        </a:xfrm>
      </xdr:grpSpPr>
      <xdr:grpSp>
        <xdr:nvGrpSpPr>
          <xdr:cNvPr id="78" name="Group 77"/>
          <xdr:cNvGrpSpPr/>
        </xdr:nvGrpSpPr>
        <xdr:grpSpPr>
          <a:xfrm>
            <a:off x="5753100" y="190500"/>
            <a:ext cx="1752600" cy="746760"/>
            <a:chOff x="5753100" y="190500"/>
            <a:chExt cx="1752600" cy="746760"/>
          </a:xfrm>
        </xdr:grpSpPr>
        <xdr:grpSp>
          <xdr:nvGrpSpPr>
            <xdr:cNvPr id="16" name="Group 15"/>
            <xdr:cNvGrpSpPr/>
          </xdr:nvGrpSpPr>
          <xdr:grpSpPr>
            <a:xfrm>
              <a:off x="5753100" y="190500"/>
              <a:ext cx="1752600" cy="746760"/>
              <a:chOff x="5745480" y="129540"/>
              <a:chExt cx="1752600" cy="746760"/>
            </a:xfrm>
          </xdr:grpSpPr>
          <xdr:sp macro="" textlink="">
            <xdr:nvSpPr>
              <xdr:cNvPr id="6" name="Rounded Rectangle 5"/>
              <xdr:cNvSpPr/>
            </xdr:nvSpPr>
            <xdr:spPr>
              <a:xfrm>
                <a:off x="5745480" y="129540"/>
                <a:ext cx="815340" cy="746760"/>
              </a:xfrm>
              <a:prstGeom prst="roundRect">
                <a:avLst>
                  <a:gd name="adj" fmla="val 1258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xdr:cNvSpPr/>
            </xdr:nvSpPr>
            <xdr:spPr>
              <a:xfrm>
                <a:off x="5844540" y="129540"/>
                <a:ext cx="1653540" cy="7467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xnSp macro="">
            <xdr:nvCxnSpPr>
              <xdr:cNvPr id="9" name="Straight Connector 8"/>
              <xdr:cNvCxnSpPr/>
            </xdr:nvCxnSpPr>
            <xdr:spPr>
              <a:xfrm>
                <a:off x="6461760" y="220980"/>
                <a:ext cx="0" cy="541020"/>
              </a:xfrm>
              <a:prstGeom prst="line">
                <a:avLst/>
              </a:prstGeom>
            </xdr:spPr>
            <xdr:style>
              <a:lnRef idx="2">
                <a:schemeClr val="accent1"/>
              </a:lnRef>
              <a:fillRef idx="0">
                <a:schemeClr val="accent1"/>
              </a:fillRef>
              <a:effectRef idx="1">
                <a:schemeClr val="accent1"/>
              </a:effectRef>
              <a:fontRef idx="minor">
                <a:schemeClr val="tx1"/>
              </a:fontRef>
            </xdr:style>
          </xdr:cxnSp>
          <xdr:pic>
            <xdr:nvPicPr>
              <xdr:cNvPr id="12" name="Picture 1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89320" y="320040"/>
                <a:ext cx="365760" cy="365760"/>
              </a:xfrm>
              <a:prstGeom prst="rect">
                <a:avLst/>
              </a:prstGeom>
            </xdr:spPr>
          </xdr:pic>
          <xdr:sp macro="" textlink="">
            <xdr:nvSpPr>
              <xdr:cNvPr id="14" name="TextBox 13"/>
              <xdr:cNvSpPr txBox="1"/>
            </xdr:nvSpPr>
            <xdr:spPr>
              <a:xfrm>
                <a:off x="6545580" y="525780"/>
                <a:ext cx="944880" cy="269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2"/>
                    </a:solidFill>
                    <a:latin typeface="Arial" panose="020B0604020202020204" pitchFamily="34" charset="0"/>
                    <a:cs typeface="Arial" panose="020B0604020202020204" pitchFamily="34" charset="0"/>
                  </a:rPr>
                  <a:t>REACHED</a:t>
                </a:r>
              </a:p>
            </xdr:txBody>
          </xdr:sp>
        </xdr:grpSp>
        <xdr:sp macro="" textlink="PivotTableReport!K5">
          <xdr:nvSpPr>
            <xdr:cNvPr id="37" name="TextBox 36"/>
            <xdr:cNvSpPr txBox="1"/>
          </xdr:nvSpPr>
          <xdr:spPr>
            <a:xfrm>
              <a:off x="6616308" y="262765"/>
              <a:ext cx="755967" cy="336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6DD39DE-F0B4-4BA1-86BF-CFFB1B916512}" type="TxLink">
                <a:rPr lang="en-US" sz="1600" b="1" i="0" u="none" strike="noStrike">
                  <a:solidFill>
                    <a:schemeClr val="tx2"/>
                  </a:solidFill>
                  <a:latin typeface="Arial" panose="020B0604020202020204" pitchFamily="34" charset="0"/>
                  <a:cs typeface="Arial" panose="020B0604020202020204" pitchFamily="34" charset="0"/>
                </a:rPr>
                <a:pPr algn="ctr"/>
                <a:t>18300</a:t>
              </a:fld>
              <a:endParaRPr lang="en-US" sz="1600" b="1">
                <a:solidFill>
                  <a:schemeClr val="tx2"/>
                </a:solidFill>
                <a:latin typeface="Arial" panose="020B0604020202020204" pitchFamily="34" charset="0"/>
                <a:cs typeface="Arial" panose="020B0604020202020204" pitchFamily="34" charset="0"/>
              </a:endParaRPr>
            </a:p>
          </xdr:txBody>
        </xdr:sp>
      </xdr:grpSp>
      <xdr:grpSp>
        <xdr:nvGrpSpPr>
          <xdr:cNvPr id="73" name="Group 72"/>
          <xdr:cNvGrpSpPr/>
        </xdr:nvGrpSpPr>
        <xdr:grpSpPr>
          <a:xfrm>
            <a:off x="7772400" y="198120"/>
            <a:ext cx="1752600" cy="746760"/>
            <a:chOff x="7772400" y="144780"/>
            <a:chExt cx="1752600" cy="746760"/>
          </a:xfrm>
        </xdr:grpSpPr>
        <xdr:sp macro="" textlink="">
          <xdr:nvSpPr>
            <xdr:cNvPr id="18" name="Rounded Rectangle 17"/>
            <xdr:cNvSpPr/>
          </xdr:nvSpPr>
          <xdr:spPr>
            <a:xfrm>
              <a:off x="7772400" y="144780"/>
              <a:ext cx="815340" cy="746760"/>
            </a:xfrm>
            <a:prstGeom prst="roundRect">
              <a:avLst>
                <a:gd name="adj" fmla="val 1258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xdr:cNvSpPr/>
          </xdr:nvSpPr>
          <xdr:spPr>
            <a:xfrm>
              <a:off x="7871460" y="144780"/>
              <a:ext cx="1653540" cy="7467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xnSp macro="">
          <xdr:nvCxnSpPr>
            <xdr:cNvPr id="20" name="Straight Connector 19"/>
            <xdr:cNvCxnSpPr/>
          </xdr:nvCxnSpPr>
          <xdr:spPr>
            <a:xfrm>
              <a:off x="8488680" y="236220"/>
              <a:ext cx="0" cy="54102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22" name="TextBox 21"/>
            <xdr:cNvSpPr txBox="1"/>
          </xdr:nvSpPr>
          <xdr:spPr>
            <a:xfrm>
              <a:off x="8572500" y="541020"/>
              <a:ext cx="944880" cy="269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2"/>
                  </a:solidFill>
                  <a:latin typeface="Arial" panose="020B0604020202020204" pitchFamily="34" charset="0"/>
                  <a:cs typeface="Arial" panose="020B0604020202020204" pitchFamily="34" charset="0"/>
                </a:rPr>
                <a:t>CLOSED</a:t>
              </a:r>
            </a:p>
          </xdr:txBody>
        </xdr:sp>
        <xdr:sp macro="" textlink="PivotTableReport!M5">
          <xdr:nvSpPr>
            <xdr:cNvPr id="39" name="TextBox 38"/>
            <xdr:cNvSpPr txBox="1"/>
          </xdr:nvSpPr>
          <xdr:spPr>
            <a:xfrm>
              <a:off x="8602980" y="266700"/>
              <a:ext cx="641737" cy="336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0359A08-75AB-4080-86BA-F0779236D673}" type="TxLink">
                <a:rPr lang="en-US" sz="1600" b="1" i="0" u="none" strike="noStrike">
                  <a:solidFill>
                    <a:schemeClr val="tx2"/>
                  </a:solidFill>
                  <a:latin typeface="Arial" panose="020B0604020202020204" pitchFamily="34" charset="0"/>
                  <a:cs typeface="Arial" panose="020B0604020202020204" pitchFamily="34" charset="0"/>
                </a:rPr>
                <a:pPr/>
                <a:t>1309</a:t>
              </a:fld>
              <a:endParaRPr lang="en-US" sz="1600" b="1">
                <a:solidFill>
                  <a:schemeClr val="tx2"/>
                </a:solidFill>
                <a:latin typeface="Arial" panose="020B0604020202020204" pitchFamily="34" charset="0"/>
                <a:cs typeface="Arial" panose="020B0604020202020204" pitchFamily="34" charset="0"/>
              </a:endParaRPr>
            </a:p>
          </xdr:txBody>
        </xdr:sp>
        <xdr:pic>
          <xdr:nvPicPr>
            <xdr:cNvPr id="72" name="Picture 7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32420" y="289560"/>
              <a:ext cx="476250" cy="476250"/>
            </a:xfrm>
            <a:prstGeom prst="rect">
              <a:avLst/>
            </a:prstGeom>
          </xdr:spPr>
        </xdr:pic>
      </xdr:grpSp>
    </xdr:grpSp>
    <xdr:clientData/>
  </xdr:twoCellAnchor>
  <xdr:twoCellAnchor>
    <xdr:from>
      <xdr:col>14</xdr:col>
      <xdr:colOff>342897</xdr:colOff>
      <xdr:row>1</xdr:row>
      <xdr:rowOff>7620</xdr:rowOff>
    </xdr:from>
    <xdr:to>
      <xdr:col>17</xdr:col>
      <xdr:colOff>112096</xdr:colOff>
      <xdr:row>5</xdr:row>
      <xdr:rowOff>53340</xdr:rowOff>
    </xdr:to>
    <xdr:grpSp>
      <xdr:nvGrpSpPr>
        <xdr:cNvPr id="75" name="Group 74"/>
        <xdr:cNvGrpSpPr/>
      </xdr:nvGrpSpPr>
      <xdr:grpSpPr>
        <a:xfrm>
          <a:off x="15950759" y="191551"/>
          <a:ext cx="1779303" cy="728892"/>
          <a:chOff x="9730740" y="137160"/>
          <a:chExt cx="1780946" cy="746760"/>
        </a:xfrm>
      </xdr:grpSpPr>
      <xdr:sp macro="" textlink="">
        <xdr:nvSpPr>
          <xdr:cNvPr id="24" name="Rounded Rectangle 23"/>
          <xdr:cNvSpPr/>
        </xdr:nvSpPr>
        <xdr:spPr>
          <a:xfrm>
            <a:off x="9730740" y="137160"/>
            <a:ext cx="815340" cy="746760"/>
          </a:xfrm>
          <a:prstGeom prst="roundRect">
            <a:avLst>
              <a:gd name="adj" fmla="val 1258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24"/>
          <xdr:cNvSpPr/>
        </xdr:nvSpPr>
        <xdr:spPr>
          <a:xfrm>
            <a:off x="9829800" y="137160"/>
            <a:ext cx="1653540" cy="7467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xnSp macro="">
        <xdr:nvCxnSpPr>
          <xdr:cNvPr id="26" name="Straight Connector 25"/>
          <xdr:cNvCxnSpPr/>
        </xdr:nvCxnSpPr>
        <xdr:spPr>
          <a:xfrm>
            <a:off x="10447020" y="228600"/>
            <a:ext cx="0" cy="54102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28" name="TextBox 27"/>
          <xdr:cNvSpPr txBox="1"/>
        </xdr:nvSpPr>
        <xdr:spPr>
          <a:xfrm>
            <a:off x="10652760" y="518160"/>
            <a:ext cx="830580" cy="269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2"/>
                </a:solidFill>
                <a:latin typeface="Arial" panose="020B0604020202020204" pitchFamily="34" charset="0"/>
                <a:cs typeface="Arial" panose="020B0604020202020204" pitchFamily="34" charset="0"/>
              </a:rPr>
              <a:t>VALUE</a:t>
            </a:r>
          </a:p>
        </xdr:txBody>
      </xdr:sp>
      <xdr:sp macro="" textlink="PivotTableReport!N5">
        <xdr:nvSpPr>
          <xdr:cNvPr id="40" name="TextBox 39"/>
          <xdr:cNvSpPr txBox="1"/>
        </xdr:nvSpPr>
        <xdr:spPr>
          <a:xfrm>
            <a:off x="10477500" y="247351"/>
            <a:ext cx="1034186" cy="306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8D917258-36FF-4CC2-A4CA-6C2D40512E6A}" type="TxLink">
              <a:rPr lang="en-US" sz="1400" b="1" i="0" u="none" strike="noStrike">
                <a:solidFill>
                  <a:srgbClr val="000000"/>
                </a:solidFill>
                <a:latin typeface="Arial" panose="020B0604020202020204" pitchFamily="34" charset="0"/>
                <a:cs typeface="Arial" panose="020B0604020202020204" pitchFamily="34" charset="0"/>
              </a:rPr>
              <a:pPr/>
              <a:t>706194.89</a:t>
            </a:fld>
            <a:endParaRPr lang="en-US" sz="1400" b="1">
              <a:latin typeface="Arial" panose="020B0604020202020204" pitchFamily="34" charset="0"/>
              <a:cs typeface="Arial" panose="020B0604020202020204" pitchFamily="34" charset="0"/>
            </a:endParaRPr>
          </a:p>
        </xdr:txBody>
      </xdr:sp>
      <xdr:pic>
        <xdr:nvPicPr>
          <xdr:cNvPr id="74" name="Picture 7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936480" y="320040"/>
            <a:ext cx="426720" cy="426720"/>
          </a:xfrm>
          <a:prstGeom prst="rect">
            <a:avLst/>
          </a:prstGeom>
        </xdr:spPr>
      </xdr:pic>
    </xdr:grpSp>
    <xdr:clientData/>
  </xdr:twoCellAnchor>
  <xdr:twoCellAnchor>
    <xdr:from>
      <xdr:col>17</xdr:col>
      <xdr:colOff>297180</xdr:colOff>
      <xdr:row>1</xdr:row>
      <xdr:rowOff>15240</xdr:rowOff>
    </xdr:from>
    <xdr:to>
      <xdr:col>20</xdr:col>
      <xdr:colOff>38100</xdr:colOff>
      <xdr:row>5</xdr:row>
      <xdr:rowOff>60960</xdr:rowOff>
    </xdr:to>
    <xdr:grpSp>
      <xdr:nvGrpSpPr>
        <xdr:cNvPr id="77" name="Group 76"/>
        <xdr:cNvGrpSpPr/>
      </xdr:nvGrpSpPr>
      <xdr:grpSpPr>
        <a:xfrm>
          <a:off x="17915146" y="199171"/>
          <a:ext cx="1751023" cy="728892"/>
          <a:chOff x="11673840" y="137160"/>
          <a:chExt cx="1752600" cy="746760"/>
        </a:xfrm>
      </xdr:grpSpPr>
      <xdr:sp macro="" textlink="">
        <xdr:nvSpPr>
          <xdr:cNvPr id="30" name="Rounded Rectangle 29"/>
          <xdr:cNvSpPr/>
        </xdr:nvSpPr>
        <xdr:spPr>
          <a:xfrm>
            <a:off x="11673840" y="137160"/>
            <a:ext cx="815340" cy="746760"/>
          </a:xfrm>
          <a:prstGeom prst="roundRect">
            <a:avLst>
              <a:gd name="adj" fmla="val 1258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xdr:cNvSpPr/>
        </xdr:nvSpPr>
        <xdr:spPr>
          <a:xfrm>
            <a:off x="11772900" y="137160"/>
            <a:ext cx="1653540" cy="7467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xnSp macro="">
        <xdr:nvCxnSpPr>
          <xdr:cNvPr id="32" name="Straight Connector 31"/>
          <xdr:cNvCxnSpPr/>
        </xdr:nvCxnSpPr>
        <xdr:spPr>
          <a:xfrm>
            <a:off x="12390120" y="228600"/>
            <a:ext cx="0" cy="54102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34" name="TextBox 33"/>
          <xdr:cNvSpPr txBox="1"/>
        </xdr:nvSpPr>
        <xdr:spPr>
          <a:xfrm>
            <a:off x="12694920" y="548640"/>
            <a:ext cx="541020" cy="269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2"/>
                </a:solidFill>
                <a:latin typeface="Arial" panose="020B0604020202020204" pitchFamily="34" charset="0"/>
                <a:cs typeface="Arial" panose="020B0604020202020204" pitchFamily="34" charset="0"/>
              </a:rPr>
              <a:t>Drop</a:t>
            </a:r>
          </a:p>
        </xdr:txBody>
      </xdr:sp>
      <xdr:sp macro="" textlink="PivotTableReport!K5">
        <xdr:nvSpPr>
          <xdr:cNvPr id="41" name="TextBox 40"/>
          <xdr:cNvSpPr txBox="1"/>
        </xdr:nvSpPr>
        <xdr:spPr>
          <a:xfrm>
            <a:off x="12542520" y="239863"/>
            <a:ext cx="756015" cy="336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312C0A97-2091-42C6-B04D-94F75D20902C}" type="TxLink">
              <a:rPr lang="en-US" sz="1600" b="1" i="0" u="none" strike="noStrike">
                <a:solidFill>
                  <a:schemeClr val="tx2"/>
                </a:solidFill>
                <a:latin typeface="Arial" panose="020B0604020202020204" pitchFamily="34" charset="0"/>
                <a:cs typeface="Arial" panose="020B0604020202020204" pitchFamily="34" charset="0"/>
              </a:rPr>
              <a:pPr/>
              <a:t>18300</a:t>
            </a:fld>
            <a:endParaRPr lang="en-US" sz="1600" b="1">
              <a:solidFill>
                <a:schemeClr val="tx2"/>
              </a:solidFill>
              <a:latin typeface="Arial" panose="020B0604020202020204" pitchFamily="34" charset="0"/>
              <a:cs typeface="Arial" panose="020B0604020202020204" pitchFamily="34" charset="0"/>
            </a:endParaRPr>
          </a:p>
        </xdr:txBody>
      </xdr:sp>
      <xdr:pic>
        <xdr:nvPicPr>
          <xdr:cNvPr id="76" name="Picture 7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864340" y="304800"/>
            <a:ext cx="495300" cy="495300"/>
          </a:xfrm>
          <a:prstGeom prst="rect">
            <a:avLst/>
          </a:prstGeom>
        </xdr:spPr>
      </xdr:pic>
    </xdr:grpSp>
    <xdr:clientData/>
  </xdr:twoCellAnchor>
  <xdr:twoCellAnchor>
    <xdr:from>
      <xdr:col>1</xdr:col>
      <xdr:colOff>981075</xdr:colOff>
      <xdr:row>5</xdr:row>
      <xdr:rowOff>361949</xdr:rowOff>
    </xdr:from>
    <xdr:to>
      <xdr:col>8</xdr:col>
      <xdr:colOff>28575</xdr:colOff>
      <xdr:row>7</xdr:row>
      <xdr:rowOff>38099</xdr:rowOff>
    </xdr:to>
    <xdr:sp macro="" textlink="">
      <xdr:nvSpPr>
        <xdr:cNvPr id="8" name="Rounded Rectangle 7"/>
        <xdr:cNvSpPr/>
      </xdr:nvSpPr>
      <xdr:spPr>
        <a:xfrm>
          <a:off x="1647825" y="1228724"/>
          <a:ext cx="6781800" cy="3905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7030A0"/>
              </a:solidFill>
              <a:latin typeface="Arial" panose="020B0604020202020204" pitchFamily="34" charset="0"/>
              <a:cs typeface="Arial" panose="020B0604020202020204" pitchFamily="34" charset="0"/>
            </a:rPr>
            <a:t>Sales</a:t>
          </a:r>
          <a:r>
            <a:rPr lang="en-US" sz="1400" b="1" baseline="0">
              <a:solidFill>
                <a:srgbClr val="7030A0"/>
              </a:solidFill>
              <a:latin typeface="Arial" panose="020B0604020202020204" pitchFamily="34" charset="0"/>
              <a:cs typeface="Arial" panose="020B0604020202020204" pitchFamily="34" charset="0"/>
            </a:rPr>
            <a:t> Agent KPIs</a:t>
          </a:r>
          <a:endParaRPr lang="en-US" sz="1400" b="1">
            <a:solidFill>
              <a:srgbClr val="7030A0"/>
            </a:solidFill>
            <a:latin typeface="Arial" panose="020B0604020202020204" pitchFamily="34" charset="0"/>
            <a:cs typeface="Arial" panose="020B0604020202020204" pitchFamily="34" charset="0"/>
          </a:endParaRPr>
        </a:p>
      </xdr:txBody>
    </xdr:sp>
    <xdr:clientData/>
  </xdr:twoCellAnchor>
  <xdr:twoCellAnchor>
    <xdr:from>
      <xdr:col>20</xdr:col>
      <xdr:colOff>233680</xdr:colOff>
      <xdr:row>1</xdr:row>
      <xdr:rowOff>15240</xdr:rowOff>
    </xdr:from>
    <xdr:to>
      <xdr:col>20</xdr:col>
      <xdr:colOff>1993900</xdr:colOff>
      <xdr:row>5</xdr:row>
      <xdr:rowOff>60960</xdr:rowOff>
    </xdr:to>
    <xdr:grpSp>
      <xdr:nvGrpSpPr>
        <xdr:cNvPr id="44" name="Group 43"/>
        <xdr:cNvGrpSpPr/>
      </xdr:nvGrpSpPr>
      <xdr:grpSpPr>
        <a:xfrm>
          <a:off x="19861749" y="199171"/>
          <a:ext cx="1760220" cy="728892"/>
          <a:chOff x="11673840" y="137160"/>
          <a:chExt cx="1752600" cy="746760"/>
        </a:xfrm>
      </xdr:grpSpPr>
      <xdr:sp macro="" textlink="">
        <xdr:nvSpPr>
          <xdr:cNvPr id="45" name="Rounded Rectangle 44"/>
          <xdr:cNvSpPr/>
        </xdr:nvSpPr>
        <xdr:spPr>
          <a:xfrm>
            <a:off x="11673840" y="137160"/>
            <a:ext cx="815340" cy="746760"/>
          </a:xfrm>
          <a:prstGeom prst="roundRect">
            <a:avLst>
              <a:gd name="adj" fmla="val 12586"/>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xdr:cNvSpPr/>
        </xdr:nvSpPr>
        <xdr:spPr>
          <a:xfrm>
            <a:off x="11772900" y="137160"/>
            <a:ext cx="1653540" cy="7467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xnSp macro="">
        <xdr:nvCxnSpPr>
          <xdr:cNvPr id="47" name="Straight Connector 46"/>
          <xdr:cNvCxnSpPr/>
        </xdr:nvCxnSpPr>
        <xdr:spPr>
          <a:xfrm>
            <a:off x="12390120" y="228600"/>
            <a:ext cx="0" cy="54102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48" name="TextBox 47"/>
          <xdr:cNvSpPr txBox="1"/>
        </xdr:nvSpPr>
        <xdr:spPr>
          <a:xfrm>
            <a:off x="12606403" y="573188"/>
            <a:ext cx="655650" cy="2573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2"/>
                </a:solidFill>
                <a:latin typeface="Arial" panose="020B0604020202020204" pitchFamily="34" charset="0"/>
                <a:cs typeface="Arial" panose="020B0604020202020204" pitchFamily="34" charset="0"/>
              </a:rPr>
              <a:t>Calls</a:t>
            </a:r>
          </a:p>
        </xdr:txBody>
      </xdr:sp>
      <xdr:sp macro="" textlink="PivotTableReport!E45">
        <xdr:nvSpPr>
          <xdr:cNvPr id="49" name="TextBox 48"/>
          <xdr:cNvSpPr txBox="1"/>
        </xdr:nvSpPr>
        <xdr:spPr>
          <a:xfrm>
            <a:off x="12542515" y="254970"/>
            <a:ext cx="233536" cy="306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7272382F-B71E-4ECB-8814-9EBB55E66BAE}" type="TxLink">
              <a:rPr lang="en-US" sz="1400" b="1" i="0" u="none" strike="noStrike">
                <a:solidFill>
                  <a:srgbClr val="000000"/>
                </a:solidFill>
                <a:latin typeface="Arial" panose="020B0604020202020204" pitchFamily="34" charset="0"/>
                <a:cs typeface="Arial" panose="020B0604020202020204" pitchFamily="34" charset="0"/>
              </a:rPr>
              <a:pPr/>
              <a:t>18300</a:t>
            </a:fld>
            <a:endParaRPr lang="en-US" sz="2000" b="1">
              <a:solidFill>
                <a:schemeClr val="tx2"/>
              </a:solidFill>
              <a:latin typeface="Arial" panose="020B0604020202020204" pitchFamily="34" charset="0"/>
              <a:cs typeface="Arial" panose="020B0604020202020204" pitchFamily="34" charset="0"/>
            </a:endParaRPr>
          </a:p>
        </xdr:txBody>
      </xdr:sp>
      <xdr:pic>
        <xdr:nvPicPr>
          <xdr:cNvPr id="50" name="Picture 49"/>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864340" y="304800"/>
            <a:ext cx="495300" cy="495300"/>
          </a:xfrm>
          <a:prstGeom prst="rect">
            <a:avLst/>
          </a:prstGeom>
        </xdr:spPr>
      </xdr:pic>
    </xdr:grpSp>
    <xdr:clientData/>
  </xdr:twoCellAnchor>
  <xdr:twoCellAnchor>
    <xdr:from>
      <xdr:col>8</xdr:col>
      <xdr:colOff>266700</xdr:colOff>
      <xdr:row>5</xdr:row>
      <xdr:rowOff>342900</xdr:rowOff>
    </xdr:from>
    <xdr:to>
      <xdr:col>17</xdr:col>
      <xdr:colOff>660400</xdr:colOff>
      <xdr:row>21</xdr:row>
      <xdr:rowOff>52552</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215900</xdr:colOff>
      <xdr:row>5</xdr:row>
      <xdr:rowOff>304800</xdr:rowOff>
    </xdr:from>
    <xdr:to>
      <xdr:col>21</xdr:col>
      <xdr:colOff>12700</xdr:colOff>
      <xdr:row>21</xdr:row>
      <xdr:rowOff>15240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215900</xdr:colOff>
      <xdr:row>22</xdr:row>
      <xdr:rowOff>66041</xdr:rowOff>
    </xdr:from>
    <xdr:to>
      <xdr:col>21</xdr:col>
      <xdr:colOff>25400</xdr:colOff>
      <xdr:row>35</xdr:row>
      <xdr:rowOff>25400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xdr:row>
      <xdr:rowOff>368300</xdr:rowOff>
    </xdr:from>
    <xdr:to>
      <xdr:col>1</xdr:col>
      <xdr:colOff>965200</xdr:colOff>
      <xdr:row>35</xdr:row>
      <xdr:rowOff>13138</xdr:rowOff>
    </xdr:to>
    <mc:AlternateContent xmlns:mc="http://schemas.openxmlformats.org/markup-compatibility/2006">
      <mc:Choice xmlns:a14="http://schemas.microsoft.com/office/drawing/2010/main" Requires="a14">
        <xdr:graphicFrame macro="">
          <xdr:nvGraphicFramePr>
            <xdr:cNvPr id="55"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0" y="1235403"/>
              <a:ext cx="1635234" cy="6699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302173</xdr:colOff>
      <xdr:row>22</xdr:row>
      <xdr:rowOff>78827</xdr:rowOff>
    </xdr:from>
    <xdr:to>
      <xdr:col>18</xdr:col>
      <xdr:colOff>13138</xdr:colOff>
      <xdr:row>35</xdr:row>
      <xdr:rowOff>52551</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275896</xdr:colOff>
      <xdr:row>35</xdr:row>
      <xdr:rowOff>26276</xdr:rowOff>
    </xdr:from>
    <xdr:to>
      <xdr:col>27</xdr:col>
      <xdr:colOff>99848</xdr:colOff>
      <xdr:row>50</xdr:row>
      <xdr:rowOff>118241</xdr:rowOff>
    </xdr:to>
    <xdr:pic>
      <xdr:nvPicPr>
        <xdr:cNvPr id="10" name="Picture 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893862" y="7948448"/>
          <a:ext cx="10058400" cy="2653862"/>
        </a:xfrm>
        <a:prstGeom prst="rect">
          <a:avLst/>
        </a:prstGeom>
      </xdr:spPr>
    </xdr:pic>
    <xdr:clientData/>
  </xdr:twoCellAnchor>
  <xdr:twoCellAnchor editAs="oneCell">
    <xdr:from>
      <xdr:col>0</xdr:col>
      <xdr:colOff>0</xdr:colOff>
      <xdr:row>37</xdr:row>
      <xdr:rowOff>105103</xdr:rowOff>
    </xdr:from>
    <xdr:to>
      <xdr:col>3</xdr:col>
      <xdr:colOff>801414</xdr:colOff>
      <xdr:row>52</xdr:row>
      <xdr:rowOff>13136</xdr:rowOff>
    </xdr:to>
    <xdr:pic>
      <xdr:nvPicPr>
        <xdr:cNvPr id="11" name="Picture 1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8368862"/>
          <a:ext cx="3770586" cy="2469929"/>
        </a:xfrm>
        <a:prstGeom prst="rect">
          <a:avLst/>
        </a:prstGeom>
      </xdr:spPr>
    </xdr:pic>
    <xdr:clientData/>
  </xdr:twoCellAnchor>
  <xdr:twoCellAnchor>
    <xdr:from>
      <xdr:col>20</xdr:col>
      <xdr:colOff>1164285</xdr:colOff>
      <xdr:row>1</xdr:row>
      <xdr:rowOff>120344</xdr:rowOff>
    </xdr:from>
    <xdr:to>
      <xdr:col>20</xdr:col>
      <xdr:colOff>1691352</xdr:colOff>
      <xdr:row>3</xdr:row>
      <xdr:rowOff>107053</xdr:rowOff>
    </xdr:to>
    <xdr:sp macro="" textlink="PivotTableReport!W31">
      <xdr:nvSpPr>
        <xdr:cNvPr id="57" name="TextBox 56"/>
        <xdr:cNvSpPr txBox="1"/>
      </xdr:nvSpPr>
      <xdr:spPr>
        <a:xfrm>
          <a:off x="20792354" y="304275"/>
          <a:ext cx="527067"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fld id="{AD5937D9-DC50-4C5D-81C2-F798EB2562D5}" type="TxLink">
            <a:rPr lang="en-US" sz="1600" b="1" i="0" u="none" strike="noStrike">
              <a:solidFill>
                <a:schemeClr val="tx2"/>
              </a:solidFill>
              <a:latin typeface="Arial" panose="020B0604020202020204" pitchFamily="34" charset="0"/>
              <a:ea typeface="+mn-ea"/>
              <a:cs typeface="Arial" panose="020B0604020202020204" pitchFamily="34" charset="0"/>
            </a:rPr>
            <a:pPr marL="0" indent="0"/>
            <a:t>18300</a:t>
          </a:fld>
          <a:endParaRPr lang="en-US" sz="1600" b="1" i="0" u="none" strike="noStrike">
            <a:solidFill>
              <a:schemeClr val="tx2"/>
            </a:solidFill>
            <a:latin typeface="Arial" panose="020B0604020202020204" pitchFamily="34" charset="0"/>
            <a:ea typeface="+mn-ea"/>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her Fattouh" refreshedDate="46109.900909259261" createdVersion="6" refreshedVersion="6" minRefreshableVersion="3" recordCount="312">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base="1">
        <rangePr groupBy="days" startDate="2024-01-01T00:00:00" endDate="2024-12-02T00:00:00"/>
        <groupItems count="368">
          <s v="&lt;01/01/24"/>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ه"/>
          <s v="02-يوليه"/>
          <s v="03-يوليه"/>
          <s v="04-يوليه"/>
          <s v="05-يوليه"/>
          <s v="06-يوليه"/>
          <s v="07-يوليه"/>
          <s v="08-يوليه"/>
          <s v="09-يوليه"/>
          <s v="10-يوليه"/>
          <s v="11-يوليه"/>
          <s v="12-يوليه"/>
          <s v="13-يوليه"/>
          <s v="14-يوليه"/>
          <s v="15-يوليه"/>
          <s v="16-يوليه"/>
          <s v="17-يوليه"/>
          <s v="18-يوليه"/>
          <s v="19-يوليه"/>
          <s v="20-يوليه"/>
          <s v="21-يوليه"/>
          <s v="22-يوليه"/>
          <s v="23-يوليه"/>
          <s v="24-يوليه"/>
          <s v="25-يوليه"/>
          <s v="26-يوليه"/>
          <s v="27-يوليه"/>
          <s v="28-يوليه"/>
          <s v="29-يوليه"/>
          <s v="30-يوليه"/>
          <s v="31-يوليه"/>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02/12/24"/>
        </groupItems>
      </fieldGroup>
    </cacheField>
    <cacheField name="Total Calls" numFmtId="165">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1">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numFmtId="0" databaseField="0">
      <fieldGroup base="1">
        <rangePr groupBy="months" startDate="2024-01-01T00:00:00" endDate="2024-12-02T00:00:00"/>
        <groupItems count="14">
          <s v="&lt;01/01/24"/>
          <s v="يناير"/>
          <s v="فبراير"/>
          <s v="مارس"/>
          <s v="أبريل"/>
          <s v="مايو"/>
          <s v="يونيو"/>
          <s v="يوليه"/>
          <s v="أغسطس"/>
          <s v="سبتمبر"/>
          <s v="أكتوبر"/>
          <s v="نوفمبر"/>
          <s v="ديسمبر"/>
          <s v="&gt;02/12/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Name">
  <location ref="C8:H35"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dataField="1" numFmtId="9" showAll="0"/>
    <pivotField showAll="0" defaultSubtotal="0">
      <items count="14">
        <item x="0"/>
        <item x="1"/>
        <item x="2"/>
        <item x="3"/>
        <item x="4"/>
        <item x="5"/>
        <item x="6"/>
        <item x="7"/>
        <item x="8"/>
        <item x="9"/>
        <item x="10"/>
        <item x="11"/>
        <item x="12"/>
        <item x="13"/>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5">
    <i>
      <x/>
    </i>
    <i i="1">
      <x v="1"/>
    </i>
    <i i="2">
      <x v="2"/>
    </i>
    <i i="3">
      <x v="3"/>
    </i>
    <i i="4">
      <x v="4"/>
    </i>
  </colItems>
  <dataFields count="5">
    <dataField name="# Total Calls" fld="2" baseField="0" baseItem="0"/>
    <dataField name="# Calls Reached" fld="3" baseField="0" baseItem="0"/>
    <dataField name="# Deals Closed" fld="5" baseField="0" baseItem="0"/>
    <dataField name="# Deal Value ($)" fld="7" baseField="0" baseItem="0"/>
    <dataField name="# Call Drop Rate (%)" fld="8" baseField="0" baseItem="0"/>
  </dataFields>
  <formats count="49">
    <format dxfId="468">
      <pivotArea dataOnly="0" labelOnly="1" fieldPosition="0">
        <references count="1">
          <reference field="0" count="0"/>
        </references>
      </pivotArea>
    </format>
    <format dxfId="467">
      <pivotArea type="all" dataOnly="0" outline="0" fieldPosition="0"/>
    </format>
    <format dxfId="466">
      <pivotArea outline="0" collapsedLevelsAreSubtotals="1" fieldPosition="0"/>
    </format>
    <format dxfId="465">
      <pivotArea field="0" type="button" dataOnly="0" labelOnly="1" outline="0" axis="axisRow" fieldPosition="0"/>
    </format>
    <format dxfId="464">
      <pivotArea dataOnly="0" labelOnly="1" fieldPosition="0">
        <references count="1">
          <reference field="0" count="0"/>
        </references>
      </pivotArea>
    </format>
    <format dxfId="463">
      <pivotArea dataOnly="0" labelOnly="1" grandRow="1" outline="0" fieldPosition="0"/>
    </format>
    <format dxfId="462">
      <pivotArea dataOnly="0" labelOnly="1" outline="0" fieldPosition="0">
        <references count="1">
          <reference field="4294967294" count="5">
            <x v="0"/>
            <x v="1"/>
            <x v="2"/>
            <x v="3"/>
            <x v="4"/>
          </reference>
        </references>
      </pivotArea>
    </format>
    <format dxfId="461">
      <pivotArea type="all" dataOnly="0" outline="0" fieldPosition="0"/>
    </format>
    <format dxfId="460">
      <pivotArea outline="0" collapsedLevelsAreSubtotals="1" fieldPosition="0"/>
    </format>
    <format dxfId="459">
      <pivotArea field="0" type="button" dataOnly="0" labelOnly="1" outline="0" axis="axisRow" fieldPosition="0"/>
    </format>
    <format dxfId="458">
      <pivotArea dataOnly="0" labelOnly="1" fieldPosition="0">
        <references count="1">
          <reference field="0" count="0"/>
        </references>
      </pivotArea>
    </format>
    <format dxfId="457">
      <pivotArea dataOnly="0" labelOnly="1" grandRow="1" outline="0" fieldPosition="0"/>
    </format>
    <format dxfId="456">
      <pivotArea dataOnly="0" labelOnly="1" outline="0" fieldPosition="0">
        <references count="1">
          <reference field="4294967294" count="5">
            <x v="0"/>
            <x v="1"/>
            <x v="2"/>
            <x v="3"/>
            <x v="4"/>
          </reference>
        </references>
      </pivotArea>
    </format>
    <format dxfId="455">
      <pivotArea field="0" type="button" dataOnly="0" labelOnly="1" outline="0" axis="axisRow" fieldPosition="0"/>
    </format>
    <format dxfId="454">
      <pivotArea dataOnly="0" labelOnly="1" outline="0" fieldPosition="0">
        <references count="1">
          <reference field="4294967294" count="5">
            <x v="0"/>
            <x v="1"/>
            <x v="2"/>
            <x v="3"/>
            <x v="4"/>
          </reference>
        </references>
      </pivotArea>
    </format>
    <format dxfId="453">
      <pivotArea field="0" type="button" dataOnly="0" labelOnly="1" outline="0" axis="axisRow" fieldPosition="0"/>
    </format>
    <format dxfId="452">
      <pivotArea dataOnly="0" labelOnly="1" outline="0" fieldPosition="0">
        <references count="1">
          <reference field="4294967294" count="5">
            <x v="0"/>
            <x v="1"/>
            <x v="2"/>
            <x v="3"/>
            <x v="4"/>
          </reference>
        </references>
      </pivotArea>
    </format>
    <format dxfId="451">
      <pivotArea type="all" dataOnly="0" outline="0" fieldPosition="0"/>
    </format>
    <format dxfId="450">
      <pivotArea outline="0" collapsedLevelsAreSubtotals="1" fieldPosition="0"/>
    </format>
    <format dxfId="449">
      <pivotArea field="0" type="button" dataOnly="0" labelOnly="1" outline="0" axis="axisRow" fieldPosition="0"/>
    </format>
    <format dxfId="448">
      <pivotArea dataOnly="0" labelOnly="1" fieldPosition="0">
        <references count="1">
          <reference field="0" count="0"/>
        </references>
      </pivotArea>
    </format>
    <format dxfId="447">
      <pivotArea dataOnly="0" labelOnly="1" grandRow="1" outline="0" fieldPosition="0"/>
    </format>
    <format dxfId="446">
      <pivotArea dataOnly="0" labelOnly="1" outline="0" fieldPosition="0">
        <references count="1">
          <reference field="4294967294" count="5">
            <x v="0"/>
            <x v="1"/>
            <x v="2"/>
            <x v="3"/>
            <x v="4"/>
          </reference>
        </references>
      </pivotArea>
    </format>
    <format dxfId="445">
      <pivotArea grandRow="1" outline="0" collapsedLevelsAreSubtotals="1" fieldPosition="0"/>
    </format>
    <format dxfId="444">
      <pivotArea dataOnly="0" labelOnly="1" grandRow="1" outline="0" fieldPosition="0"/>
    </format>
    <format dxfId="443">
      <pivotArea grandRow="1" outline="0" collapsedLevelsAreSubtotals="1" fieldPosition="0"/>
    </format>
    <format dxfId="442">
      <pivotArea dataOnly="0" labelOnly="1" grandRow="1" outline="0" fieldPosition="0"/>
    </format>
    <format dxfId="441">
      <pivotArea grandRow="1" outline="0" collapsedLevelsAreSubtotals="1" fieldPosition="0"/>
    </format>
    <format dxfId="440">
      <pivotArea dataOnly="0" labelOnly="1" grandRow="1" outline="0" fieldPosition="0"/>
    </format>
    <format dxfId="439">
      <pivotArea grandRow="1" outline="0" collapsedLevelsAreSubtotals="1" fieldPosition="0"/>
    </format>
    <format dxfId="438">
      <pivotArea dataOnly="0" labelOnly="1" grandRow="1" outline="0" fieldPosition="0"/>
    </format>
    <format dxfId="437">
      <pivotArea grandRow="1" outline="0" collapsedLevelsAreSubtotals="1" fieldPosition="0"/>
    </format>
    <format dxfId="436">
      <pivotArea dataOnly="0" labelOnly="1" grandRow="1" outline="0" fieldPosition="0"/>
    </format>
    <format dxfId="435">
      <pivotArea dataOnly="0" fieldPosition="0">
        <references count="1">
          <reference field="0" count="0"/>
        </references>
      </pivotArea>
    </format>
    <format dxfId="434">
      <pivotArea dataOnly="0" fieldPosition="0">
        <references count="1">
          <reference field="0" count="0"/>
        </references>
      </pivotArea>
    </format>
    <format dxfId="433">
      <pivotArea dataOnly="0" fieldPosition="0">
        <references count="1">
          <reference field="0" count="0"/>
        </references>
      </pivotArea>
    </format>
    <format dxfId="432">
      <pivotArea dataOnly="0" fieldPosition="0">
        <references count="1">
          <reference field="0" count="0"/>
        </references>
      </pivotArea>
    </format>
    <format dxfId="431">
      <pivotArea grandRow="1" outline="0" collapsedLevelsAreSubtotals="1" fieldPosition="0"/>
    </format>
    <format dxfId="430">
      <pivotArea dataOnly="0" labelOnly="1" grandRow="1" outline="0" fieldPosition="0"/>
    </format>
    <format dxfId="429">
      <pivotArea grandRow="1" outline="0" collapsedLevelsAreSubtotals="1" fieldPosition="0"/>
    </format>
    <format dxfId="428">
      <pivotArea dataOnly="0" labelOnly="1" grandRow="1" outline="0" fieldPosition="0"/>
    </format>
    <format dxfId="427">
      <pivotArea field="0" type="button" dataOnly="0" labelOnly="1" outline="0" axis="axisRow" fieldPosition="0"/>
    </format>
    <format dxfId="426">
      <pivotArea dataOnly="0" labelOnly="1" outline="0" fieldPosition="0">
        <references count="1">
          <reference field="4294967294" count="5">
            <x v="0"/>
            <x v="1"/>
            <x v="2"/>
            <x v="3"/>
            <x v="4"/>
          </reference>
        </references>
      </pivotArea>
    </format>
    <format dxfId="425">
      <pivotArea field="0" type="button" dataOnly="0" labelOnly="1" outline="0" axis="axisRow" fieldPosition="0"/>
    </format>
    <format dxfId="424">
      <pivotArea dataOnly="0" labelOnly="1" outline="0" fieldPosition="0">
        <references count="1">
          <reference field="4294967294" count="5">
            <x v="0"/>
            <x v="1"/>
            <x v="2"/>
            <x v="3"/>
            <x v="4"/>
          </reference>
        </references>
      </pivotArea>
    </format>
    <format dxfId="423">
      <pivotArea field="0" type="button" dataOnly="0" labelOnly="1" outline="0" axis="axisRow" fieldPosition="0"/>
    </format>
    <format dxfId="422">
      <pivotArea dataOnly="0" labelOnly="1" outline="0" fieldPosition="0">
        <references count="1">
          <reference field="4294967294" count="5">
            <x v="0"/>
            <x v="1"/>
            <x v="2"/>
            <x v="3"/>
            <x v="4"/>
          </reference>
        </references>
      </pivotArea>
    </format>
    <format dxfId="421">
      <pivotArea field="0" type="button" dataOnly="0" labelOnly="1" outline="0" axis="axisRow" fieldPosition="0"/>
    </format>
    <format dxfId="420">
      <pivotArea dataOnly="0" labelOnly="1" outline="0" fieldPosition="0">
        <references count="1">
          <reference field="4294967294" count="5">
            <x v="0"/>
            <x v="1"/>
            <x v="2"/>
            <x v="3"/>
            <x v="4"/>
          </reference>
        </references>
      </pivotArea>
    </format>
  </formats>
  <conditionalFormats count="7">
    <conditionalFormat priority="1">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7">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8">
      <pivotAreas count="1">
        <pivotArea type="data" collapsedLevelsAreSubtotals="1" fieldPosition="0">
          <references count="2">
            <reference field="4294967294" count="1" selected="0">
              <x v="4"/>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lls_Reached_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R18:T31"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dataField="1" showAll="0"/>
    <pivotField numFmtId="9" showAll="0"/>
    <pivotField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chartFormats count="2">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7:K8" firstHeaderRow="1" firstDataRow="1" firstDataCol="0"/>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showAll="0"/>
    <pivotField dataField="1" numFmtId="9"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all Drop Rat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all_Drop_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B18:AC31"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9" showAll="0"/>
    <pivotField showAll="0"/>
    <pivotField dataField="1"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Call Drop Rate (%)" fld="8" baseField="0" baseItem="0"/>
  </dataFields>
  <chartFormats count="3">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Report"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8:I45"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dataField="1" numFmtId="9" showAll="0"/>
    <pivotField showAll="0" defaultSubtotal="0">
      <items count="14">
        <item x="0"/>
        <item x="1"/>
        <item x="2"/>
        <item x="3"/>
        <item x="4"/>
        <item x="5"/>
        <item x="6"/>
        <item x="7"/>
        <item x="8"/>
        <item x="9"/>
        <item x="10"/>
        <item x="11"/>
        <item x="12"/>
        <item x="13"/>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5">
    <i>
      <x/>
    </i>
    <i i="1">
      <x v="1"/>
    </i>
    <i i="2">
      <x v="2"/>
    </i>
    <i i="3">
      <x v="3"/>
    </i>
    <i i="4">
      <x v="4"/>
    </i>
  </colItems>
  <dataFields count="5">
    <dataField name="# Total Calls" fld="2" baseField="0" baseItem="0"/>
    <dataField name="# Calls Reached" fld="3" baseField="0" baseItem="0"/>
    <dataField name="# Deals Closed" fld="5" baseField="0" baseItem="0"/>
    <dataField name="# Deal Value ($)" fld="7" baseField="0" baseItem="0"/>
    <dataField name="# Call Drop Rate (%)" fld="8" baseField="0" baseItem="0"/>
  </dataFields>
  <formats count="1">
    <format dxfId="393">
      <pivotArea dataOnly="0" labelOnly="1" fieldPosition="0">
        <references count="1">
          <reference field="0" count="0"/>
        </references>
      </pivotArea>
    </format>
  </formats>
  <conditionalFormats count="7">
    <conditionalFormat priority="13">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14">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18">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19">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15">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6">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22">
      <pivotAreas count="1">
        <pivotArea type="data" collapsedLevelsAreSubtotals="1" fieldPosition="0">
          <references count="2">
            <reference field="4294967294" count="1" selected="0">
              <x v="4"/>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O5" firstHeaderRow="0" firstDataRow="1" firstDataCol="0"/>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dataField="1" showAll="0"/>
    <pivotField numFmtId="9" showAll="0"/>
    <pivotField dataField="1" showAll="0"/>
    <pivotField dataField="1" numFmtId="9"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Sum of Total Calls" fld="2" baseField="0" baseItem="0"/>
    <dataField name="Sum of Calls Reached" fld="3" baseField="0" baseItem="0"/>
    <dataField name="Sum of Deals Closed" fld="5" baseField="0" baseItem="0"/>
    <dataField name="Sum of Deal Value ($)" fld="7" baseField="0" baseItem="0"/>
    <dataField name="Sum of Call Drop Rate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Calls_Reached"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K18:P45" firstHeaderRow="0" firstDataRow="1" firstDataCol="1"/>
  <pivotFields count="10">
    <pivotField axis="axisRow" showAll="0" sortType="ascending">
      <items count="27">
        <item x="18"/>
        <item x="19"/>
        <item x="6"/>
        <item x="11"/>
        <item x="12"/>
        <item x="8"/>
        <item x="25"/>
        <item x="14"/>
        <item x="4"/>
        <item x="16"/>
        <item x="22"/>
        <item x="10"/>
        <item x="3"/>
        <item x="13"/>
        <item x="20"/>
        <item x="0"/>
        <item x="21"/>
        <item x="2"/>
        <item x="24"/>
        <item x="17"/>
        <item x="23"/>
        <item x="9"/>
        <item x="7"/>
        <item x="5"/>
        <item x="1"/>
        <item x="15"/>
        <item t="default"/>
      </items>
      <autoSortScope>
        <pivotArea dataOnly="0" outline="0" fieldPosition="0">
          <references count="1">
            <reference field="4294967294" count="1" selected="0">
              <x v="3"/>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dataField="1" showAll="0"/>
    <pivotField dataField="1" showAll="0"/>
    <pivotField numFmtId="9" showAll="0"/>
    <pivotField showAll="0"/>
    <pivotField dataField="1" numFmtId="9" showAll="0"/>
    <pivotField showAll="0" defaultSubtotal="0">
      <items count="14">
        <item x="0"/>
        <item x="1"/>
        <item x="2"/>
        <item x="3"/>
        <item x="4"/>
        <item x="5"/>
        <item x="6"/>
        <item x="7"/>
        <item x="8"/>
        <item x="9"/>
        <item x="10"/>
        <item x="11"/>
        <item x="12"/>
        <item x="13"/>
      </items>
    </pivotField>
  </pivotFields>
  <rowFields count="1">
    <field x="0"/>
  </rowFields>
  <rowItems count="27">
    <i>
      <x v="12"/>
    </i>
    <i>
      <x v="9"/>
    </i>
    <i>
      <x v="25"/>
    </i>
    <i>
      <x/>
    </i>
    <i>
      <x v="10"/>
    </i>
    <i>
      <x v="11"/>
    </i>
    <i>
      <x v="7"/>
    </i>
    <i>
      <x v="13"/>
    </i>
    <i>
      <x v="22"/>
    </i>
    <i>
      <x v="14"/>
    </i>
    <i>
      <x v="2"/>
    </i>
    <i>
      <x v="21"/>
    </i>
    <i>
      <x v="15"/>
    </i>
    <i>
      <x v="6"/>
    </i>
    <i>
      <x v="24"/>
    </i>
    <i>
      <x v="5"/>
    </i>
    <i>
      <x v="20"/>
    </i>
    <i>
      <x v="17"/>
    </i>
    <i>
      <x v="8"/>
    </i>
    <i>
      <x v="1"/>
    </i>
    <i>
      <x v="23"/>
    </i>
    <i>
      <x v="19"/>
    </i>
    <i>
      <x v="3"/>
    </i>
    <i>
      <x v="18"/>
    </i>
    <i>
      <x v="16"/>
    </i>
    <i>
      <x v="4"/>
    </i>
    <i t="grand">
      <x/>
    </i>
  </rowItems>
  <colFields count="1">
    <field x="-2"/>
  </colFields>
  <colItems count="5">
    <i>
      <x/>
    </i>
    <i i="1">
      <x v="1"/>
    </i>
    <i i="2">
      <x v="2"/>
    </i>
    <i i="3">
      <x v="3"/>
    </i>
    <i i="4">
      <x v="4"/>
    </i>
  </colItems>
  <dataFields count="5">
    <dataField name="# Calls Reached" fld="3" baseField="0" baseItem="0"/>
    <dataField name="Sum of Deals Closed" fld="5" baseField="0" baseItem="0"/>
    <dataField name="Sum of Total Calls" fld="2" baseField="0" baseItem="0"/>
    <dataField name="Average of Average Duration (sec)" fld="4" subtotal="average" baseField="0" baseItem="0"/>
    <dataField name="Sum of Call Drop Rate (%)" fld="8" baseField="0" baseItem="0"/>
  </dataFields>
  <formats count="26">
    <format dxfId="419">
      <pivotArea dataOnly="0" labelOnly="1" fieldPosition="0">
        <references count="1">
          <reference field="0" count="0"/>
        </references>
      </pivotArea>
    </format>
    <format dxfId="418">
      <pivotArea collapsedLevelsAreSubtotals="1" fieldPosition="0">
        <references count="2">
          <reference field="4294967294" count="1" selected="0">
            <x v="1"/>
          </reference>
          <reference field="0" count="0"/>
        </references>
      </pivotArea>
    </format>
    <format dxfId="417">
      <pivotArea collapsedLevelsAreSubtotals="1" fieldPosition="0">
        <references count="2">
          <reference field="4294967294" count="1" selected="0">
            <x v="0"/>
          </reference>
          <reference field="0" count="0"/>
        </references>
      </pivotArea>
    </format>
    <format dxfId="416">
      <pivotArea collapsedLevelsAreSubtotals="1" fieldPosition="0">
        <references count="2">
          <reference field="4294967294" count="1" selected="0">
            <x v="1"/>
          </reference>
          <reference field="0" count="0"/>
        </references>
      </pivotArea>
    </format>
    <format dxfId="415">
      <pivotArea collapsedLevelsAreSubtotals="1" fieldPosition="0">
        <references count="2">
          <reference field="4294967294" count="1" selected="0">
            <x v="0"/>
          </reference>
          <reference field="0" count="0"/>
        </references>
      </pivotArea>
    </format>
    <format dxfId="414">
      <pivotArea collapsedLevelsAreSubtotals="1" fieldPosition="0">
        <references count="2">
          <reference field="4294967294" count="1" selected="0">
            <x v="0"/>
          </reference>
          <reference field="0" count="0"/>
        </references>
      </pivotArea>
    </format>
    <format dxfId="413">
      <pivotArea collapsedLevelsAreSubtotals="1" fieldPosition="0">
        <references count="2">
          <reference field="4294967294" count="1" selected="0">
            <x v="0"/>
          </reference>
          <reference field="0" count="0"/>
        </references>
      </pivotArea>
    </format>
    <format dxfId="412">
      <pivotArea collapsedLevelsAreSubtotals="1" fieldPosition="0">
        <references count="2">
          <reference field="4294967294" count="1" selected="0">
            <x v="0"/>
          </reference>
          <reference field="0" count="0"/>
        </references>
      </pivotArea>
    </format>
    <format dxfId="411">
      <pivotArea collapsedLevelsAreSubtotals="1" fieldPosition="0">
        <references count="2">
          <reference field="4294967294" count="1" selected="0">
            <x v="3"/>
          </reference>
          <reference field="0" count="0"/>
        </references>
      </pivotArea>
    </format>
    <format dxfId="410">
      <pivotArea collapsedLevelsAreSubtotals="1" fieldPosition="0">
        <references count="2">
          <reference field="4294967294" count="1" selected="0">
            <x v="3"/>
          </reference>
          <reference field="0" count="0"/>
        </references>
      </pivotArea>
    </format>
    <format dxfId="409">
      <pivotArea collapsedLevelsAreSubtotals="1" fieldPosition="0">
        <references count="2">
          <reference field="4294967294" count="1" selected="0">
            <x v="3"/>
          </reference>
          <reference field="0" count="0"/>
        </references>
      </pivotArea>
    </format>
    <format dxfId="408">
      <pivotArea collapsedLevelsAreSubtotals="1" fieldPosition="0">
        <references count="2">
          <reference field="4294967294" count="1" selected="0">
            <x v="3"/>
          </reference>
          <reference field="0" count="0"/>
        </references>
      </pivotArea>
    </format>
    <format dxfId="407">
      <pivotArea collapsedLevelsAreSubtotals="1" fieldPosition="0">
        <references count="2">
          <reference field="4294967294" count="1" selected="0">
            <x v="3"/>
          </reference>
          <reference field="0" count="0"/>
        </references>
      </pivotArea>
    </format>
    <format dxfId="406">
      <pivotArea collapsedLevelsAreSubtotals="1" fieldPosition="0">
        <references count="2">
          <reference field="4294967294" count="1" selected="0">
            <x v="3"/>
          </reference>
          <reference field="0" count="0"/>
        </references>
      </pivotArea>
    </format>
    <format dxfId="405">
      <pivotArea collapsedLevelsAreSubtotals="1" fieldPosition="0">
        <references count="2">
          <reference field="4294967294" count="1" selected="0">
            <x v="3"/>
          </reference>
          <reference field="0" count="0"/>
        </references>
      </pivotArea>
    </format>
    <format dxfId="404">
      <pivotArea collapsedLevelsAreSubtotals="1" fieldPosition="0">
        <references count="2">
          <reference field="4294967294" count="1" selected="0">
            <x v="4"/>
          </reference>
          <reference field="0" count="0"/>
        </references>
      </pivotArea>
    </format>
    <format dxfId="403">
      <pivotArea collapsedLevelsAreSubtotals="1" fieldPosition="0">
        <references count="2">
          <reference field="4294967294" count="1" selected="0">
            <x v="4"/>
          </reference>
          <reference field="0" count="0"/>
        </references>
      </pivotArea>
    </format>
    <format dxfId="402">
      <pivotArea collapsedLevelsAreSubtotals="1" fieldPosition="0">
        <references count="2">
          <reference field="4294967294" count="1" selected="0">
            <x v="4"/>
          </reference>
          <reference field="0" count="0"/>
        </references>
      </pivotArea>
    </format>
    <format dxfId="401">
      <pivotArea collapsedLevelsAreSubtotals="1" fieldPosition="0">
        <references count="2">
          <reference field="4294967294" count="1" selected="0">
            <x v="4"/>
          </reference>
          <reference field="0" count="0"/>
        </references>
      </pivotArea>
    </format>
    <format dxfId="400">
      <pivotArea collapsedLevelsAreSubtotals="1" fieldPosition="0">
        <references count="2">
          <reference field="4294967294" count="1" selected="0">
            <x v="4"/>
          </reference>
          <reference field="0" count="0"/>
        </references>
      </pivotArea>
    </format>
    <format dxfId="399">
      <pivotArea collapsedLevelsAreSubtotals="1" fieldPosition="0">
        <references count="2">
          <reference field="4294967294" count="1" selected="0">
            <x v="4"/>
          </reference>
          <reference field="0" count="0"/>
        </references>
      </pivotArea>
    </format>
    <format dxfId="398">
      <pivotArea collapsedLevelsAreSubtotals="1" fieldPosition="0">
        <references count="2">
          <reference field="4294967294" count="1" selected="0">
            <x v="4"/>
          </reference>
          <reference field="0" count="0"/>
        </references>
      </pivotArea>
    </format>
    <format dxfId="397">
      <pivotArea collapsedLevelsAreSubtotals="1" fieldPosition="0">
        <references count="2">
          <reference field="4294967294" count="1" selected="0">
            <x v="4"/>
          </reference>
          <reference field="0" count="0"/>
        </references>
      </pivotArea>
    </format>
    <format dxfId="396">
      <pivotArea collapsedLevelsAreSubtotals="1" fieldPosition="0">
        <references count="2">
          <reference field="4294967294" count="1" selected="0">
            <x v="4"/>
          </reference>
          <reference field="0" count="0"/>
        </references>
      </pivotArea>
    </format>
    <format dxfId="395">
      <pivotArea collapsedLevelsAreSubtotals="1" fieldPosition="0">
        <references count="2">
          <reference field="4294967294" count="1" selected="0">
            <x v="4"/>
          </reference>
          <reference field="0" count="0"/>
        </references>
      </pivotArea>
    </format>
    <format dxfId="394">
      <pivotArea collapsedLevelsAreSubtotals="1" fieldPosition="0">
        <references count="2">
          <reference field="4294967294" count="1" selected="0">
            <x v="4"/>
          </reference>
          <reference field="0" count="0"/>
        </references>
      </pivotArea>
    </format>
  </format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_Calls_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Month">
  <location ref="V18:W31"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numFmtId="9" showAll="0"/>
    <pivotField showAll="0"/>
    <pivotField numFmtId="9"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otal Calls" fld="2" baseField="0" baseItem="0"/>
  </dataFields>
  <chartFormats count="1">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verage_Duration_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rowHeaderCaption="Month">
  <location ref="Y18:Z31"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numFmtId="9" showAll="0"/>
    <pivotField showAll="0"/>
    <pivotField numFmtId="9"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1">
    <field x="9"/>
  </rowFields>
  <rowItems count="13">
    <i>
      <x v="4"/>
    </i>
    <i>
      <x v="9"/>
    </i>
    <i>
      <x v="5"/>
    </i>
    <i>
      <x v="11"/>
    </i>
    <i>
      <x v="8"/>
    </i>
    <i>
      <x v="2"/>
    </i>
    <i>
      <x v="10"/>
    </i>
    <i>
      <x v="3"/>
    </i>
    <i>
      <x v="1"/>
    </i>
    <i>
      <x v="6"/>
    </i>
    <i>
      <x v="7"/>
    </i>
    <i>
      <x v="12"/>
    </i>
    <i t="grand">
      <x/>
    </i>
  </rowItems>
  <colItems count="1">
    <i/>
  </colItems>
  <dataFields count="1">
    <dataField name="Average of Average Duration (sec)" fld="4" subtotal="average" baseField="9" baseItem="1"/>
  </dataFields>
  <formats count="7">
    <format dxfId="392">
      <pivotArea collapsedLevelsAreSubtotals="1" fieldPosition="0">
        <references count="1">
          <reference field="9" count="12">
            <x v="1"/>
            <x v="2"/>
            <x v="3"/>
            <x v="4"/>
            <x v="5"/>
            <x v="6"/>
            <x v="7"/>
            <x v="8"/>
            <x v="9"/>
            <x v="10"/>
            <x v="11"/>
            <x v="12"/>
          </reference>
        </references>
      </pivotArea>
    </format>
    <format dxfId="391">
      <pivotArea collapsedLevelsAreSubtotals="1" fieldPosition="0">
        <references count="1">
          <reference field="9" count="12">
            <x v="1"/>
            <x v="2"/>
            <x v="3"/>
            <x v="4"/>
            <x v="5"/>
            <x v="6"/>
            <x v="7"/>
            <x v="8"/>
            <x v="9"/>
            <x v="10"/>
            <x v="11"/>
            <x v="12"/>
          </reference>
        </references>
      </pivotArea>
    </format>
    <format dxfId="390">
      <pivotArea collapsedLevelsAreSubtotals="1" fieldPosition="0">
        <references count="1">
          <reference field="9" count="12">
            <x v="1"/>
            <x v="2"/>
            <x v="3"/>
            <x v="4"/>
            <x v="5"/>
            <x v="6"/>
            <x v="7"/>
            <x v="8"/>
            <x v="9"/>
            <x v="10"/>
            <x v="11"/>
            <x v="12"/>
          </reference>
        </references>
      </pivotArea>
    </format>
    <format dxfId="389">
      <pivotArea collapsedLevelsAreSubtotals="1" fieldPosition="0">
        <references count="1">
          <reference field="9" count="12">
            <x v="1"/>
            <x v="2"/>
            <x v="3"/>
            <x v="4"/>
            <x v="5"/>
            <x v="6"/>
            <x v="7"/>
            <x v="8"/>
            <x v="9"/>
            <x v="10"/>
            <x v="11"/>
            <x v="12"/>
          </reference>
        </references>
      </pivotArea>
    </format>
    <format dxfId="388">
      <pivotArea collapsedLevelsAreSubtotals="1" fieldPosition="0">
        <references count="1">
          <reference field="9" count="12">
            <x v="1"/>
            <x v="2"/>
            <x v="3"/>
            <x v="4"/>
            <x v="5"/>
            <x v="6"/>
            <x v="7"/>
            <x v="8"/>
            <x v="9"/>
            <x v="10"/>
            <x v="11"/>
            <x v="12"/>
          </reference>
        </references>
      </pivotArea>
    </format>
    <format dxfId="387">
      <pivotArea collapsedLevelsAreSubtotals="1" fieldPosition="0">
        <references count="1">
          <reference field="9" count="12">
            <x v="1"/>
            <x v="2"/>
            <x v="3"/>
            <x v="4"/>
            <x v="5"/>
            <x v="6"/>
            <x v="7"/>
            <x v="8"/>
            <x v="9"/>
            <x v="10"/>
            <x v="11"/>
            <x v="12"/>
          </reference>
        </references>
      </pivotArea>
    </format>
    <format dxfId="386">
      <pivotArea collapsedLevelsAreSubtotals="1" fieldPosition="0">
        <references count="1">
          <reference field="9" count="12">
            <x v="1"/>
            <x v="2"/>
            <x v="3"/>
            <x v="4"/>
            <x v="5"/>
            <x v="6"/>
            <x v="7"/>
            <x v="8"/>
            <x v="9"/>
            <x v="10"/>
            <x v="11"/>
            <x v="12"/>
          </reference>
        </references>
      </pivotArea>
    </format>
  </formats>
  <chartFormats count="3">
    <chartFormat chart="26"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1" sourceName="Name">
  <pivotTables>
    <pivotTable tabId="3" name="PivotTableReport"/>
    <pivotTable tabId="3" name="Average_Duration_1"/>
    <pivotTable tabId="3" name="Call_Drop_1"/>
    <pivotTable tabId="3" name="Calls_Reached_2"/>
    <pivotTable tabId="3" name="Total_Calls_1"/>
  </pivotTables>
  <data>
    <tabular pivotCacheId="1">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1" cache="Slicer_Name1" caption="Name" rowHeight="234950"/>
</slicers>
</file>

<file path=xl/tables/table1.xml><?xml version="1.0" encoding="utf-8"?>
<table xmlns="http://schemas.openxmlformats.org/spreadsheetml/2006/main" id="1" name="SalesData" displayName="SalesData" ref="A1:I313" totalsRowShown="0">
  <autoFilter ref="A1:I313"/>
  <tableColumns count="9">
    <tableColumn id="1" name="Name"/>
    <tableColumn id="2" name="Date" dataDxfId="472"/>
    <tableColumn id="3" name="Total Calls" dataDxfId="471"/>
    <tableColumn id="4" name="Calls Reached"/>
    <tableColumn id="5" name="Average Duration (sec)" dataDxfId="351"/>
    <tableColumn id="6" name="Deals Closed"/>
    <tableColumn id="7" name="Call Conversion Rate (%)" dataDxfId="470"/>
    <tableColumn id="8" name="Deal Value ($)"/>
    <tableColumn id="9" name="Call Drop Rate (%)" dataDxfId="4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3"/>
  <sheetViews>
    <sheetView workbookViewId="0">
      <selection activeCell="E2" sqref="E2:E313"/>
    </sheetView>
  </sheetViews>
  <sheetFormatPr defaultRowHeight="13.8"/>
  <cols>
    <col min="1" max="1" width="8.3984375" customWidth="1"/>
    <col min="2" max="2" width="9.3984375" style="1" bestFit="1" customWidth="1"/>
    <col min="3" max="3" width="12.59765625" customWidth="1"/>
    <col min="4" max="4" width="16" customWidth="1"/>
    <col min="5" max="5" width="23.59765625" customWidth="1"/>
    <col min="6" max="6" width="15.09765625" customWidth="1"/>
    <col min="7" max="7" width="25.59765625" style="2" customWidth="1"/>
    <col min="8" max="8" width="15.59765625" customWidth="1"/>
    <col min="9" max="9" width="19.59765625" customWidth="1"/>
  </cols>
  <sheetData>
    <row r="1" spans="1:9">
      <c r="A1" t="s">
        <v>0</v>
      </c>
      <c r="B1" s="1" t="s">
        <v>1</v>
      </c>
      <c r="C1" t="s">
        <v>2</v>
      </c>
      <c r="D1" t="s">
        <v>3</v>
      </c>
      <c r="E1" t="s">
        <v>4</v>
      </c>
      <c r="F1" t="s">
        <v>5</v>
      </c>
      <c r="G1" s="2" t="s">
        <v>6</v>
      </c>
      <c r="H1" t="s">
        <v>7</v>
      </c>
      <c r="I1" t="s">
        <v>8</v>
      </c>
    </row>
    <row r="2" spans="1:9">
      <c r="A2" t="s">
        <v>9</v>
      </c>
      <c r="B2" s="1">
        <v>45292</v>
      </c>
      <c r="C2" s="11">
        <v>74</v>
      </c>
      <c r="D2">
        <v>12</v>
      </c>
      <c r="E2" s="28">
        <v>330.42</v>
      </c>
      <c r="F2">
        <v>7</v>
      </c>
      <c r="G2" s="2">
        <v>0.58333333333333337</v>
      </c>
      <c r="H2">
        <v>4276.3100000000004</v>
      </c>
      <c r="I2" s="2">
        <v>2.9500000000000002E-2</v>
      </c>
    </row>
    <row r="3" spans="1:9">
      <c r="A3" t="s">
        <v>10</v>
      </c>
      <c r="B3" s="1">
        <v>45292</v>
      </c>
      <c r="C3" s="11">
        <v>78</v>
      </c>
      <c r="D3">
        <v>12</v>
      </c>
      <c r="E3" s="28">
        <v>377.5</v>
      </c>
      <c r="F3">
        <v>4</v>
      </c>
      <c r="G3" s="2">
        <v>0.33333333333333331</v>
      </c>
      <c r="H3">
        <v>3880.98</v>
      </c>
      <c r="I3" s="2">
        <v>4.3400000000000001E-2</v>
      </c>
    </row>
    <row r="4" spans="1:9">
      <c r="A4" t="s">
        <v>11</v>
      </c>
      <c r="B4" s="1">
        <v>45292</v>
      </c>
      <c r="C4" s="11">
        <v>47</v>
      </c>
      <c r="D4">
        <v>14</v>
      </c>
      <c r="E4" s="28">
        <v>418.92</v>
      </c>
      <c r="F4">
        <v>2</v>
      </c>
      <c r="G4" s="2">
        <v>0.14285714285714285</v>
      </c>
      <c r="H4">
        <v>3716</v>
      </c>
      <c r="I4" s="2">
        <v>4.3899999999999995E-2</v>
      </c>
    </row>
    <row r="5" spans="1:9">
      <c r="A5" t="s">
        <v>12</v>
      </c>
      <c r="B5" s="1">
        <v>45292</v>
      </c>
      <c r="C5" s="11">
        <v>24</v>
      </c>
      <c r="D5">
        <v>6</v>
      </c>
      <c r="E5" s="28">
        <v>76.930000000000007</v>
      </c>
      <c r="F5">
        <v>4</v>
      </c>
      <c r="G5" s="2">
        <v>0.66666666666666663</v>
      </c>
      <c r="H5">
        <v>1552.35</v>
      </c>
      <c r="I5" s="2">
        <v>3.0800000000000001E-2</v>
      </c>
    </row>
    <row r="6" spans="1:9">
      <c r="A6" t="s">
        <v>13</v>
      </c>
      <c r="B6" s="1">
        <v>45292</v>
      </c>
      <c r="C6" s="11">
        <v>81</v>
      </c>
      <c r="D6">
        <v>16</v>
      </c>
      <c r="E6" s="28">
        <v>516.23</v>
      </c>
      <c r="F6">
        <v>5</v>
      </c>
      <c r="G6" s="2">
        <v>0.3125</v>
      </c>
      <c r="H6">
        <v>1030.68</v>
      </c>
      <c r="I6" s="2">
        <v>4.1100000000000005E-2</v>
      </c>
    </row>
    <row r="7" spans="1:9">
      <c r="A7" t="s">
        <v>14</v>
      </c>
      <c r="B7" s="1">
        <v>45292</v>
      </c>
      <c r="C7" s="11">
        <v>59</v>
      </c>
      <c r="D7">
        <v>5</v>
      </c>
      <c r="E7" s="28">
        <v>520.05999999999995</v>
      </c>
      <c r="F7">
        <v>3</v>
      </c>
      <c r="G7" s="2">
        <v>0.6</v>
      </c>
      <c r="H7">
        <v>3546.72</v>
      </c>
      <c r="I7" s="2">
        <v>1.2699999999999999E-2</v>
      </c>
    </row>
    <row r="8" spans="1:9">
      <c r="A8" t="s">
        <v>15</v>
      </c>
      <c r="B8" s="1">
        <v>45292</v>
      </c>
      <c r="C8" s="11">
        <v>68</v>
      </c>
      <c r="D8">
        <v>19</v>
      </c>
      <c r="E8" s="28">
        <v>290.39</v>
      </c>
      <c r="F8">
        <v>3</v>
      </c>
      <c r="G8" s="2">
        <v>0.15789473684210525</v>
      </c>
      <c r="H8">
        <v>2472.2399999999998</v>
      </c>
      <c r="I8" s="2">
        <v>9.5399999999999985E-2</v>
      </c>
    </row>
    <row r="9" spans="1:9">
      <c r="A9" t="s">
        <v>16</v>
      </c>
      <c r="B9" s="1">
        <v>45292</v>
      </c>
      <c r="C9" s="11">
        <v>60</v>
      </c>
      <c r="D9">
        <v>7</v>
      </c>
      <c r="E9" s="28">
        <v>251.7</v>
      </c>
      <c r="F9">
        <v>5</v>
      </c>
      <c r="G9" s="2">
        <v>0.7142857142857143</v>
      </c>
      <c r="H9">
        <v>3956.69</v>
      </c>
      <c r="I9" s="2">
        <v>4.1100000000000005E-2</v>
      </c>
    </row>
    <row r="10" spans="1:9">
      <c r="A10" t="s">
        <v>17</v>
      </c>
      <c r="B10" s="1">
        <v>45292</v>
      </c>
      <c r="C10" s="11">
        <v>34</v>
      </c>
      <c r="D10">
        <v>21</v>
      </c>
      <c r="E10" s="28">
        <v>362.62</v>
      </c>
      <c r="F10">
        <v>9</v>
      </c>
      <c r="G10" s="2">
        <v>0.42857142857142855</v>
      </c>
      <c r="H10">
        <v>1140.08</v>
      </c>
      <c r="I10" s="2">
        <v>5.4600000000000003E-2</v>
      </c>
    </row>
    <row r="11" spans="1:9">
      <c r="A11" t="s">
        <v>18</v>
      </c>
      <c r="B11" s="1">
        <v>45292</v>
      </c>
      <c r="C11" s="11">
        <v>59</v>
      </c>
      <c r="D11">
        <v>13</v>
      </c>
      <c r="E11" s="28">
        <v>307.49</v>
      </c>
      <c r="F11">
        <v>10</v>
      </c>
      <c r="G11" s="2">
        <v>0.76923076923076927</v>
      </c>
      <c r="H11">
        <v>979.09</v>
      </c>
      <c r="I11" s="2">
        <v>3.27E-2</v>
      </c>
    </row>
    <row r="12" spans="1:9">
      <c r="A12" t="s">
        <v>19</v>
      </c>
      <c r="B12" s="1">
        <v>45292</v>
      </c>
      <c r="C12" s="11">
        <v>18</v>
      </c>
      <c r="D12">
        <v>8</v>
      </c>
      <c r="E12" s="28">
        <v>206.81</v>
      </c>
      <c r="F12">
        <v>7</v>
      </c>
      <c r="G12" s="2">
        <v>0.875</v>
      </c>
      <c r="H12">
        <v>720.56</v>
      </c>
      <c r="I12" s="2">
        <v>7.8899999999999998E-2</v>
      </c>
    </row>
    <row r="13" spans="1:9">
      <c r="A13" t="s">
        <v>20</v>
      </c>
      <c r="B13" s="1">
        <v>45292</v>
      </c>
      <c r="C13" s="11">
        <v>36</v>
      </c>
      <c r="D13">
        <v>6</v>
      </c>
      <c r="E13" s="28">
        <v>547.6</v>
      </c>
      <c r="F13">
        <v>5</v>
      </c>
      <c r="G13" s="2">
        <v>0.83333333333333337</v>
      </c>
      <c r="H13">
        <v>3463.18</v>
      </c>
      <c r="I13" s="2">
        <v>3.7599999999999995E-2</v>
      </c>
    </row>
    <row r="14" spans="1:9">
      <c r="A14" t="s">
        <v>21</v>
      </c>
      <c r="B14" s="1">
        <v>45292</v>
      </c>
      <c r="C14" s="11">
        <v>67</v>
      </c>
      <c r="D14">
        <v>17</v>
      </c>
      <c r="E14" s="28">
        <v>552.54999999999995</v>
      </c>
      <c r="F14">
        <v>2</v>
      </c>
      <c r="G14" s="2">
        <v>0.11764705882352941</v>
      </c>
      <c r="H14">
        <v>330.12</v>
      </c>
      <c r="I14" s="2">
        <v>3.7200000000000004E-2</v>
      </c>
    </row>
    <row r="15" spans="1:9">
      <c r="A15" t="s">
        <v>22</v>
      </c>
      <c r="B15" s="1">
        <v>45292</v>
      </c>
      <c r="C15" s="11">
        <v>36</v>
      </c>
      <c r="D15">
        <v>9</v>
      </c>
      <c r="E15" s="28">
        <v>216.03</v>
      </c>
      <c r="F15">
        <v>2</v>
      </c>
      <c r="G15" s="2">
        <v>0.22222222222222221</v>
      </c>
      <c r="H15">
        <v>4072.07</v>
      </c>
      <c r="I15" s="2">
        <v>4.1200000000000001E-2</v>
      </c>
    </row>
    <row r="16" spans="1:9">
      <c r="A16" t="s">
        <v>23</v>
      </c>
      <c r="B16" s="1">
        <v>45292</v>
      </c>
      <c r="C16" s="11">
        <v>54</v>
      </c>
      <c r="D16">
        <v>10</v>
      </c>
      <c r="E16" s="28">
        <v>208.23</v>
      </c>
      <c r="F16">
        <v>3</v>
      </c>
      <c r="G16" s="2">
        <v>0.3</v>
      </c>
      <c r="H16">
        <v>645.83000000000004</v>
      </c>
      <c r="I16" s="2">
        <v>2.7999999999999997E-2</v>
      </c>
    </row>
    <row r="17" spans="1:9">
      <c r="A17" t="s">
        <v>24</v>
      </c>
      <c r="B17" s="1">
        <v>45292</v>
      </c>
      <c r="C17" s="11">
        <v>82</v>
      </c>
      <c r="D17">
        <v>4</v>
      </c>
      <c r="E17" s="28">
        <v>180.06</v>
      </c>
      <c r="F17">
        <v>4</v>
      </c>
      <c r="G17" s="2">
        <v>1</v>
      </c>
      <c r="H17">
        <v>1207.17</v>
      </c>
      <c r="I17" s="2">
        <v>8.4199999999999997E-2</v>
      </c>
    </row>
    <row r="18" spans="1:9">
      <c r="A18" t="s">
        <v>25</v>
      </c>
      <c r="B18" s="1">
        <v>45292</v>
      </c>
      <c r="C18" s="11">
        <v>81</v>
      </c>
      <c r="D18">
        <v>7</v>
      </c>
      <c r="E18" s="28">
        <v>82.43</v>
      </c>
      <c r="F18">
        <v>7</v>
      </c>
      <c r="G18" s="2">
        <v>1</v>
      </c>
      <c r="H18">
        <v>3463.96</v>
      </c>
      <c r="I18" s="2">
        <v>8.4900000000000003E-2</v>
      </c>
    </row>
    <row r="19" spans="1:9">
      <c r="A19" t="s">
        <v>26</v>
      </c>
      <c r="B19" s="1">
        <v>45292</v>
      </c>
      <c r="C19" s="11">
        <v>31</v>
      </c>
      <c r="D19">
        <v>17</v>
      </c>
      <c r="E19" s="28">
        <v>476.95</v>
      </c>
      <c r="F19">
        <v>7</v>
      </c>
      <c r="G19" s="2">
        <v>0.41176470588235292</v>
      </c>
      <c r="H19">
        <v>3945.43</v>
      </c>
      <c r="I19" s="2">
        <v>3.6000000000000004E-2</v>
      </c>
    </row>
    <row r="20" spans="1:9">
      <c r="A20" t="s">
        <v>27</v>
      </c>
      <c r="B20" s="1">
        <v>45292</v>
      </c>
      <c r="C20" s="11">
        <v>92</v>
      </c>
      <c r="D20">
        <v>20</v>
      </c>
      <c r="E20" s="28">
        <v>161.41999999999999</v>
      </c>
      <c r="F20">
        <v>4</v>
      </c>
      <c r="G20" s="2">
        <v>0.2</v>
      </c>
      <c r="H20">
        <v>425.41</v>
      </c>
      <c r="I20" s="2">
        <v>0.1045</v>
      </c>
    </row>
    <row r="21" spans="1:9">
      <c r="A21" t="s">
        <v>28</v>
      </c>
      <c r="B21" s="1">
        <v>45292</v>
      </c>
      <c r="C21" s="11">
        <v>73</v>
      </c>
      <c r="D21">
        <v>12</v>
      </c>
      <c r="E21" s="28">
        <v>507.45</v>
      </c>
      <c r="F21">
        <v>0</v>
      </c>
      <c r="G21" s="2">
        <v>0</v>
      </c>
      <c r="H21">
        <v>1123.8399999999999</v>
      </c>
      <c r="I21" s="2">
        <v>8.9999999999999998E-4</v>
      </c>
    </row>
    <row r="22" spans="1:9">
      <c r="A22" t="s">
        <v>29</v>
      </c>
      <c r="B22" s="1">
        <v>45292</v>
      </c>
      <c r="C22" s="11">
        <v>25</v>
      </c>
      <c r="D22">
        <v>14</v>
      </c>
      <c r="E22" s="28">
        <v>279.95</v>
      </c>
      <c r="F22">
        <v>2</v>
      </c>
      <c r="G22" s="2">
        <v>0.14285714285714285</v>
      </c>
      <c r="H22">
        <v>1432.23</v>
      </c>
      <c r="I22" s="2">
        <v>5.1699999999999996E-2</v>
      </c>
    </row>
    <row r="23" spans="1:9">
      <c r="A23" t="s">
        <v>30</v>
      </c>
      <c r="B23" s="1">
        <v>45292</v>
      </c>
      <c r="C23" s="11">
        <v>96</v>
      </c>
      <c r="D23">
        <v>6</v>
      </c>
      <c r="E23" s="28">
        <v>532.83000000000004</v>
      </c>
      <c r="F23">
        <v>1</v>
      </c>
      <c r="G23" s="2">
        <v>0.16666666666666666</v>
      </c>
      <c r="H23">
        <v>3173.13</v>
      </c>
      <c r="I23" s="2">
        <v>2.8300000000000002E-2</v>
      </c>
    </row>
    <row r="24" spans="1:9">
      <c r="A24" t="s">
        <v>31</v>
      </c>
      <c r="B24" s="1">
        <v>45292</v>
      </c>
      <c r="C24" s="11">
        <v>63</v>
      </c>
      <c r="D24">
        <v>8</v>
      </c>
      <c r="E24" s="28">
        <v>170.49</v>
      </c>
      <c r="F24">
        <v>7</v>
      </c>
      <c r="G24" s="2">
        <v>0.875</v>
      </c>
      <c r="H24">
        <v>526.12</v>
      </c>
      <c r="I24" s="2">
        <v>8.3499999999999991E-2</v>
      </c>
    </row>
    <row r="25" spans="1:9">
      <c r="A25" t="s">
        <v>32</v>
      </c>
      <c r="B25" s="1">
        <v>45292</v>
      </c>
      <c r="C25" s="11">
        <v>92</v>
      </c>
      <c r="D25">
        <v>13</v>
      </c>
      <c r="E25" s="28">
        <v>422.39</v>
      </c>
      <c r="F25">
        <v>1</v>
      </c>
      <c r="G25" s="2">
        <v>7.6923076923076927E-2</v>
      </c>
      <c r="H25">
        <v>2695.84</v>
      </c>
      <c r="I25" s="2">
        <v>2.46E-2</v>
      </c>
    </row>
    <row r="26" spans="1:9">
      <c r="A26" t="s">
        <v>33</v>
      </c>
      <c r="B26" s="1">
        <v>45292</v>
      </c>
      <c r="C26" s="11">
        <v>38</v>
      </c>
      <c r="D26">
        <v>10</v>
      </c>
      <c r="E26" s="28">
        <v>514.25</v>
      </c>
      <c r="F26">
        <v>4</v>
      </c>
      <c r="G26" s="2">
        <v>0.4</v>
      </c>
      <c r="H26">
        <v>243.62</v>
      </c>
      <c r="I26" s="2">
        <v>6.4399999999999999E-2</v>
      </c>
    </row>
    <row r="27" spans="1:9">
      <c r="A27" t="s">
        <v>34</v>
      </c>
      <c r="B27" s="1">
        <v>45292</v>
      </c>
      <c r="C27" s="11">
        <v>43</v>
      </c>
      <c r="D27">
        <v>15</v>
      </c>
      <c r="E27" s="28">
        <v>363.48</v>
      </c>
      <c r="F27">
        <v>7</v>
      </c>
      <c r="G27" s="2">
        <v>0.46666666666666667</v>
      </c>
      <c r="H27">
        <v>3843.52</v>
      </c>
      <c r="I27" s="2">
        <v>8.3400000000000002E-2</v>
      </c>
    </row>
    <row r="28" spans="1:9">
      <c r="A28" t="s">
        <v>9</v>
      </c>
      <c r="B28" s="1">
        <v>45323</v>
      </c>
      <c r="C28" s="11">
        <v>62</v>
      </c>
      <c r="D28">
        <v>15</v>
      </c>
      <c r="E28" s="28">
        <v>361.38</v>
      </c>
      <c r="F28">
        <v>6</v>
      </c>
      <c r="G28" s="2">
        <v>0.4</v>
      </c>
      <c r="H28">
        <v>4195.1400000000003</v>
      </c>
      <c r="I28" s="2">
        <v>2.75E-2</v>
      </c>
    </row>
    <row r="29" spans="1:9">
      <c r="A29" t="s">
        <v>10</v>
      </c>
      <c r="B29" s="1">
        <v>45323</v>
      </c>
      <c r="C29" s="11">
        <v>81</v>
      </c>
      <c r="D29">
        <v>14</v>
      </c>
      <c r="E29" s="28">
        <v>362.96</v>
      </c>
      <c r="F29">
        <v>5</v>
      </c>
      <c r="G29" s="2">
        <v>0.35714285714285715</v>
      </c>
      <c r="H29">
        <v>3620.19</v>
      </c>
      <c r="I29" s="2">
        <v>4.0800000000000003E-2</v>
      </c>
    </row>
    <row r="30" spans="1:9">
      <c r="A30" t="s">
        <v>11</v>
      </c>
      <c r="B30" s="1">
        <v>45323</v>
      </c>
      <c r="C30" s="11">
        <v>52</v>
      </c>
      <c r="D30">
        <v>14</v>
      </c>
      <c r="E30" s="28">
        <v>382.59</v>
      </c>
      <c r="F30">
        <v>3</v>
      </c>
      <c r="G30" s="2">
        <v>0.21428571428571427</v>
      </c>
      <c r="H30">
        <v>3394.39</v>
      </c>
      <c r="I30" s="2">
        <v>4.5599999999999995E-2</v>
      </c>
    </row>
    <row r="31" spans="1:9">
      <c r="A31" t="s">
        <v>12</v>
      </c>
      <c r="B31" s="1">
        <v>45323</v>
      </c>
      <c r="C31" s="11">
        <v>22</v>
      </c>
      <c r="D31">
        <v>7</v>
      </c>
      <c r="E31" s="28">
        <v>79.459999999999994</v>
      </c>
      <c r="F31">
        <v>3</v>
      </c>
      <c r="G31" s="2">
        <v>0.42857142857142855</v>
      </c>
      <c r="H31">
        <v>1638.74</v>
      </c>
      <c r="I31" s="2">
        <v>3.04E-2</v>
      </c>
    </row>
    <row r="32" spans="1:9">
      <c r="A32" t="s">
        <v>13</v>
      </c>
      <c r="B32" s="1">
        <v>45323</v>
      </c>
      <c r="C32" s="11">
        <v>93</v>
      </c>
      <c r="D32">
        <v>11</v>
      </c>
      <c r="E32" s="28">
        <v>446.3</v>
      </c>
      <c r="F32">
        <v>5</v>
      </c>
      <c r="G32" s="2">
        <v>0.45454545454545453</v>
      </c>
      <c r="H32">
        <v>1057.1400000000001</v>
      </c>
      <c r="I32" s="2">
        <v>3.6900000000000002E-2</v>
      </c>
    </row>
    <row r="33" spans="1:9">
      <c r="A33" t="s">
        <v>14</v>
      </c>
      <c r="B33" s="1">
        <v>45323</v>
      </c>
      <c r="C33" s="11">
        <v>65</v>
      </c>
      <c r="D33">
        <v>7</v>
      </c>
      <c r="E33" s="28">
        <v>461.67</v>
      </c>
      <c r="F33">
        <v>2</v>
      </c>
      <c r="G33" s="2">
        <v>0.2857142857142857</v>
      </c>
      <c r="H33">
        <v>3486.23</v>
      </c>
      <c r="I33" s="2">
        <v>1.1200000000000002E-2</v>
      </c>
    </row>
    <row r="34" spans="1:9">
      <c r="A34" t="s">
        <v>15</v>
      </c>
      <c r="B34" s="1">
        <v>45323</v>
      </c>
      <c r="C34" s="11">
        <v>90</v>
      </c>
      <c r="D34">
        <v>20</v>
      </c>
      <c r="E34" s="28">
        <v>328.63</v>
      </c>
      <c r="F34">
        <v>3</v>
      </c>
      <c r="G34" s="2">
        <v>0.15</v>
      </c>
      <c r="H34">
        <v>2662.44</v>
      </c>
      <c r="I34" s="2">
        <v>0.10640000000000001</v>
      </c>
    </row>
    <row r="35" spans="1:9">
      <c r="A35" t="s">
        <v>16</v>
      </c>
      <c r="B35" s="1">
        <v>45323</v>
      </c>
      <c r="C35" s="11">
        <v>48</v>
      </c>
      <c r="D35">
        <v>7</v>
      </c>
      <c r="E35" s="28">
        <v>247.66</v>
      </c>
      <c r="F35">
        <v>6</v>
      </c>
      <c r="G35" s="2">
        <v>0.8571428571428571</v>
      </c>
      <c r="H35">
        <v>4335.84</v>
      </c>
      <c r="I35" s="2">
        <v>3.9900000000000005E-2</v>
      </c>
    </row>
    <row r="36" spans="1:9">
      <c r="A36" t="s">
        <v>17</v>
      </c>
      <c r="B36" s="1">
        <v>45323</v>
      </c>
      <c r="C36" s="11">
        <v>37</v>
      </c>
      <c r="D36">
        <v>17</v>
      </c>
      <c r="E36" s="28">
        <v>378.61</v>
      </c>
      <c r="F36">
        <v>10</v>
      </c>
      <c r="G36" s="2">
        <v>0.58823529411764708</v>
      </c>
      <c r="H36">
        <v>1295.07</v>
      </c>
      <c r="I36" s="2">
        <v>5.6299999999999996E-2</v>
      </c>
    </row>
    <row r="37" spans="1:9">
      <c r="A37" t="s">
        <v>18</v>
      </c>
      <c r="B37" s="1">
        <v>45323</v>
      </c>
      <c r="C37" s="11">
        <v>68</v>
      </c>
      <c r="D37">
        <v>16</v>
      </c>
      <c r="E37" s="28">
        <v>299.58999999999997</v>
      </c>
      <c r="F37">
        <v>9</v>
      </c>
      <c r="G37" s="2">
        <v>0.5625</v>
      </c>
      <c r="H37">
        <v>979.47</v>
      </c>
      <c r="I37" s="2">
        <v>3.6900000000000002E-2</v>
      </c>
    </row>
    <row r="38" spans="1:9">
      <c r="A38" t="s">
        <v>19</v>
      </c>
      <c r="B38" s="1">
        <v>45323</v>
      </c>
      <c r="C38" s="11">
        <v>20</v>
      </c>
      <c r="D38">
        <v>9</v>
      </c>
      <c r="E38" s="28">
        <v>202.4</v>
      </c>
      <c r="F38">
        <v>7</v>
      </c>
      <c r="G38" s="2">
        <v>0.77777777777777779</v>
      </c>
      <c r="H38">
        <v>732.99</v>
      </c>
      <c r="I38" s="2">
        <v>7.9000000000000001E-2</v>
      </c>
    </row>
    <row r="39" spans="1:9">
      <c r="A39" t="s">
        <v>20</v>
      </c>
      <c r="B39" s="1">
        <v>45323</v>
      </c>
      <c r="C39" s="11">
        <v>35</v>
      </c>
      <c r="D39">
        <v>6</v>
      </c>
      <c r="E39" s="28">
        <v>568.38</v>
      </c>
      <c r="F39">
        <v>6</v>
      </c>
      <c r="G39" s="2">
        <v>1</v>
      </c>
      <c r="H39">
        <v>3949.69</v>
      </c>
      <c r="I39" s="2">
        <v>3.7499999999999999E-2</v>
      </c>
    </row>
    <row r="40" spans="1:9">
      <c r="A40" t="s">
        <v>21</v>
      </c>
      <c r="B40" s="1">
        <v>45323</v>
      </c>
      <c r="C40" s="11">
        <v>68</v>
      </c>
      <c r="D40">
        <v>21</v>
      </c>
      <c r="E40" s="28">
        <v>553.08000000000004</v>
      </c>
      <c r="F40">
        <v>3</v>
      </c>
      <c r="G40" s="2">
        <v>0.14285714285714285</v>
      </c>
      <c r="H40">
        <v>360.7</v>
      </c>
      <c r="I40" s="2">
        <v>3.3399999999999999E-2</v>
      </c>
    </row>
    <row r="41" spans="1:9">
      <c r="A41" t="s">
        <v>22</v>
      </c>
      <c r="B41" s="1">
        <v>45323</v>
      </c>
      <c r="C41" s="11">
        <v>30</v>
      </c>
      <c r="D41">
        <v>8</v>
      </c>
      <c r="E41" s="28">
        <v>223.22</v>
      </c>
      <c r="F41">
        <v>2</v>
      </c>
      <c r="G41" s="2">
        <v>0.25</v>
      </c>
      <c r="H41">
        <v>3595.12</v>
      </c>
      <c r="I41" s="2">
        <v>4.3400000000000001E-2</v>
      </c>
    </row>
    <row r="42" spans="1:9">
      <c r="A42" t="s">
        <v>23</v>
      </c>
      <c r="B42" s="1">
        <v>45323</v>
      </c>
      <c r="C42" s="11">
        <v>69</v>
      </c>
      <c r="D42">
        <v>8</v>
      </c>
      <c r="E42" s="28">
        <v>199.93</v>
      </c>
      <c r="F42">
        <v>2</v>
      </c>
      <c r="G42" s="2">
        <v>0.25</v>
      </c>
      <c r="H42">
        <v>610.66</v>
      </c>
      <c r="I42" s="2">
        <v>2.8199999999999999E-2</v>
      </c>
    </row>
    <row r="43" spans="1:9">
      <c r="A43" t="s">
        <v>24</v>
      </c>
      <c r="B43" s="1">
        <v>45323</v>
      </c>
      <c r="C43" s="11">
        <v>92</v>
      </c>
      <c r="D43">
        <v>6</v>
      </c>
      <c r="E43" s="28">
        <v>180.46</v>
      </c>
      <c r="F43">
        <v>5</v>
      </c>
      <c r="G43" s="2">
        <v>0.83333333333333337</v>
      </c>
      <c r="H43">
        <v>1173.27</v>
      </c>
      <c r="I43" s="2">
        <v>7.5300000000000006E-2</v>
      </c>
    </row>
    <row r="44" spans="1:9">
      <c r="A44" t="s">
        <v>25</v>
      </c>
      <c r="B44" s="1">
        <v>45323</v>
      </c>
      <c r="C44" s="11">
        <v>92</v>
      </c>
      <c r="D44">
        <v>7</v>
      </c>
      <c r="E44" s="28">
        <v>80.12</v>
      </c>
      <c r="F44">
        <v>6</v>
      </c>
      <c r="G44" s="2">
        <v>0.8571428571428571</v>
      </c>
      <c r="H44">
        <v>3794.02</v>
      </c>
      <c r="I44" s="2">
        <v>9.5000000000000001E-2</v>
      </c>
    </row>
    <row r="45" spans="1:9">
      <c r="A45" t="s">
        <v>26</v>
      </c>
      <c r="B45" s="1">
        <v>45323</v>
      </c>
      <c r="C45" s="11">
        <v>21</v>
      </c>
      <c r="D45">
        <v>14</v>
      </c>
      <c r="E45" s="28">
        <v>563.79</v>
      </c>
      <c r="F45">
        <v>8</v>
      </c>
      <c r="G45" s="2">
        <v>0.5714285714285714</v>
      </c>
      <c r="H45">
        <v>3616.21</v>
      </c>
      <c r="I45" s="2">
        <v>3.61E-2</v>
      </c>
    </row>
    <row r="46" spans="1:9">
      <c r="A46" t="s">
        <v>27</v>
      </c>
      <c r="B46" s="1">
        <v>45323</v>
      </c>
      <c r="C46" s="11">
        <v>83</v>
      </c>
      <c r="D46">
        <v>20</v>
      </c>
      <c r="E46" s="28">
        <v>193.39</v>
      </c>
      <c r="F46">
        <v>5</v>
      </c>
      <c r="G46" s="2">
        <v>0.25</v>
      </c>
      <c r="H46">
        <v>402.53</v>
      </c>
      <c r="I46" s="2">
        <v>0.1013</v>
      </c>
    </row>
    <row r="47" spans="1:9">
      <c r="A47" t="s">
        <v>28</v>
      </c>
      <c r="B47" s="1">
        <v>45323</v>
      </c>
      <c r="C47" s="11">
        <v>57</v>
      </c>
      <c r="D47">
        <v>11</v>
      </c>
      <c r="E47" s="28">
        <v>454.77</v>
      </c>
      <c r="F47">
        <v>1</v>
      </c>
      <c r="G47" s="2">
        <v>9.0909090909090912E-2</v>
      </c>
      <c r="H47">
        <v>1152.4100000000001</v>
      </c>
      <c r="I47" s="2">
        <v>1E-3</v>
      </c>
    </row>
    <row r="48" spans="1:9">
      <c r="A48" t="s">
        <v>29</v>
      </c>
      <c r="B48" s="1">
        <v>45323</v>
      </c>
      <c r="C48" s="11">
        <v>22</v>
      </c>
      <c r="D48">
        <v>17</v>
      </c>
      <c r="E48" s="28">
        <v>291.97000000000003</v>
      </c>
      <c r="F48">
        <v>1</v>
      </c>
      <c r="G48" s="2">
        <v>5.8823529411764705E-2</v>
      </c>
      <c r="H48">
        <v>1703.6</v>
      </c>
      <c r="I48" s="2">
        <v>5.21E-2</v>
      </c>
    </row>
    <row r="49" spans="1:9">
      <c r="A49" t="s">
        <v>30</v>
      </c>
      <c r="B49" s="1">
        <v>45323</v>
      </c>
      <c r="C49" s="11">
        <v>78</v>
      </c>
      <c r="D49">
        <v>5</v>
      </c>
      <c r="E49" s="28">
        <v>553.86</v>
      </c>
      <c r="F49">
        <v>1</v>
      </c>
      <c r="G49" s="2">
        <v>0.2</v>
      </c>
      <c r="H49">
        <v>3503.57</v>
      </c>
      <c r="I49" s="2">
        <v>3.1300000000000001E-2</v>
      </c>
    </row>
    <row r="50" spans="1:9">
      <c r="A50" t="s">
        <v>31</v>
      </c>
      <c r="B50" s="1">
        <v>45323</v>
      </c>
      <c r="C50" s="11">
        <v>68</v>
      </c>
      <c r="D50">
        <v>7</v>
      </c>
      <c r="E50" s="28">
        <v>171.76</v>
      </c>
      <c r="F50">
        <v>7</v>
      </c>
      <c r="G50" s="2">
        <v>1</v>
      </c>
      <c r="H50">
        <v>548.36</v>
      </c>
      <c r="I50" s="2">
        <v>8.2500000000000004E-2</v>
      </c>
    </row>
    <row r="51" spans="1:9">
      <c r="A51" t="s">
        <v>32</v>
      </c>
      <c r="B51" s="1">
        <v>45323</v>
      </c>
      <c r="C51" s="11">
        <v>83</v>
      </c>
      <c r="D51">
        <v>16</v>
      </c>
      <c r="E51" s="28">
        <v>382.21</v>
      </c>
      <c r="F51">
        <v>1</v>
      </c>
      <c r="G51" s="2">
        <v>6.25E-2</v>
      </c>
      <c r="H51">
        <v>3017.43</v>
      </c>
      <c r="I51" s="2">
        <v>2.4199999999999999E-2</v>
      </c>
    </row>
    <row r="52" spans="1:9">
      <c r="A52" t="s">
        <v>33</v>
      </c>
      <c r="B52" s="1">
        <v>45323</v>
      </c>
      <c r="C52" s="11">
        <v>31</v>
      </c>
      <c r="D52">
        <v>11</v>
      </c>
      <c r="E52" s="28">
        <v>562.73</v>
      </c>
      <c r="F52">
        <v>4</v>
      </c>
      <c r="G52" s="2">
        <v>0.36363636363636365</v>
      </c>
      <c r="H52">
        <v>221.94</v>
      </c>
      <c r="I52" s="2">
        <v>6.7400000000000002E-2</v>
      </c>
    </row>
    <row r="53" spans="1:9">
      <c r="A53" t="s">
        <v>34</v>
      </c>
      <c r="B53" s="1">
        <v>45323</v>
      </c>
      <c r="C53" s="11">
        <v>34</v>
      </c>
      <c r="D53">
        <v>17</v>
      </c>
      <c r="E53" s="28">
        <v>380.37</v>
      </c>
      <c r="F53">
        <v>7</v>
      </c>
      <c r="G53" s="2">
        <v>0.41176470588235292</v>
      </c>
      <c r="H53">
        <v>4183.2700000000004</v>
      </c>
      <c r="I53" s="2">
        <v>8.8699999999999987E-2</v>
      </c>
    </row>
    <row r="54" spans="1:9">
      <c r="A54" t="s">
        <v>9</v>
      </c>
      <c r="B54" s="1">
        <v>45352</v>
      </c>
      <c r="C54" s="11">
        <v>55</v>
      </c>
      <c r="D54">
        <v>17</v>
      </c>
      <c r="E54" s="28">
        <v>315.62</v>
      </c>
      <c r="F54">
        <v>5</v>
      </c>
      <c r="G54" s="2">
        <v>0.29411764705882354</v>
      </c>
      <c r="H54">
        <v>3890.73</v>
      </c>
      <c r="I54" s="2">
        <v>2.8799999999999999E-2</v>
      </c>
    </row>
    <row r="55" spans="1:9">
      <c r="A55" t="s">
        <v>10</v>
      </c>
      <c r="B55" s="1">
        <v>45352</v>
      </c>
      <c r="C55" s="11">
        <v>91</v>
      </c>
      <c r="D55">
        <v>10</v>
      </c>
      <c r="E55" s="28">
        <v>361.58</v>
      </c>
      <c r="F55">
        <v>4</v>
      </c>
      <c r="G55" s="2">
        <v>0.4</v>
      </c>
      <c r="H55">
        <v>3674.37</v>
      </c>
      <c r="I55" s="2">
        <v>4.0800000000000003E-2</v>
      </c>
    </row>
    <row r="56" spans="1:9">
      <c r="A56" t="s">
        <v>11</v>
      </c>
      <c r="B56" s="1">
        <v>45352</v>
      </c>
      <c r="C56" s="11">
        <v>59</v>
      </c>
      <c r="D56">
        <v>13</v>
      </c>
      <c r="E56" s="28">
        <v>402.9</v>
      </c>
      <c r="F56">
        <v>2</v>
      </c>
      <c r="G56" s="2">
        <v>0.15384615384615385</v>
      </c>
      <c r="H56">
        <v>3357.27</v>
      </c>
      <c r="I56" s="2">
        <v>4.2599999999999999E-2</v>
      </c>
    </row>
    <row r="57" spans="1:9">
      <c r="A57" t="s">
        <v>12</v>
      </c>
      <c r="B57" s="1">
        <v>45352</v>
      </c>
      <c r="C57" s="11">
        <v>19</v>
      </c>
      <c r="D57">
        <v>6</v>
      </c>
      <c r="E57" s="28">
        <v>82.65</v>
      </c>
      <c r="F57">
        <v>3</v>
      </c>
      <c r="G57" s="2">
        <v>0.5</v>
      </c>
      <c r="H57">
        <v>1469.62</v>
      </c>
      <c r="I57" s="2">
        <v>3.0699999999999998E-2</v>
      </c>
    </row>
    <row r="58" spans="1:9">
      <c r="A58" t="s">
        <v>13</v>
      </c>
      <c r="B58" s="1">
        <v>45352</v>
      </c>
      <c r="C58" s="11">
        <v>77</v>
      </c>
      <c r="D58">
        <v>14</v>
      </c>
      <c r="E58" s="28">
        <v>494.43</v>
      </c>
      <c r="F58">
        <v>4</v>
      </c>
      <c r="G58" s="2">
        <v>0.2857142857142857</v>
      </c>
      <c r="H58">
        <v>963.35</v>
      </c>
      <c r="I58" s="2">
        <v>3.6699999999999997E-2</v>
      </c>
    </row>
    <row r="59" spans="1:9">
      <c r="A59" t="s">
        <v>14</v>
      </c>
      <c r="B59" s="1">
        <v>45352</v>
      </c>
      <c r="C59" s="11">
        <v>50</v>
      </c>
      <c r="D59">
        <v>8</v>
      </c>
      <c r="E59" s="28">
        <v>512.92999999999995</v>
      </c>
      <c r="F59">
        <v>3</v>
      </c>
      <c r="G59" s="2">
        <v>0.375</v>
      </c>
      <c r="H59">
        <v>3725.66</v>
      </c>
      <c r="I59" s="2">
        <v>1.1599999999999999E-2</v>
      </c>
    </row>
    <row r="60" spans="1:9">
      <c r="A60" t="s">
        <v>15</v>
      </c>
      <c r="B60" s="1">
        <v>45352</v>
      </c>
      <c r="C60" s="11">
        <v>88</v>
      </c>
      <c r="D60">
        <v>18</v>
      </c>
      <c r="E60" s="28">
        <v>291.04000000000002</v>
      </c>
      <c r="F60">
        <v>2</v>
      </c>
      <c r="G60" s="2">
        <v>0.1111111111111111</v>
      </c>
      <c r="H60">
        <v>2619.84</v>
      </c>
      <c r="I60" s="2">
        <v>0.10550000000000001</v>
      </c>
    </row>
    <row r="61" spans="1:9">
      <c r="A61" t="s">
        <v>16</v>
      </c>
      <c r="B61" s="1">
        <v>45352</v>
      </c>
      <c r="C61" s="11">
        <v>62</v>
      </c>
      <c r="D61">
        <v>9</v>
      </c>
      <c r="E61" s="28">
        <v>252.77</v>
      </c>
      <c r="F61">
        <v>7</v>
      </c>
      <c r="G61" s="2">
        <v>0.77777777777777779</v>
      </c>
      <c r="H61">
        <v>4641.6099999999997</v>
      </c>
      <c r="I61" s="2">
        <v>4.0800000000000003E-2</v>
      </c>
    </row>
    <row r="62" spans="1:9">
      <c r="A62" t="s">
        <v>17</v>
      </c>
      <c r="B62" s="1">
        <v>45352</v>
      </c>
      <c r="C62" s="11">
        <v>33</v>
      </c>
      <c r="D62">
        <v>18</v>
      </c>
      <c r="E62" s="28">
        <v>348.57</v>
      </c>
      <c r="F62">
        <v>8</v>
      </c>
      <c r="G62" s="2">
        <v>0.44444444444444442</v>
      </c>
      <c r="H62">
        <v>1169.6400000000001</v>
      </c>
      <c r="I62" s="2">
        <v>5.4800000000000001E-2</v>
      </c>
    </row>
    <row r="63" spans="1:9">
      <c r="A63" t="s">
        <v>18</v>
      </c>
      <c r="B63" s="1">
        <v>45352</v>
      </c>
      <c r="C63" s="11">
        <v>54</v>
      </c>
      <c r="D63">
        <v>15</v>
      </c>
      <c r="E63" s="28">
        <v>321.99</v>
      </c>
      <c r="F63">
        <v>8</v>
      </c>
      <c r="G63" s="2">
        <v>0.53333333333333333</v>
      </c>
      <c r="H63">
        <v>1080.0899999999999</v>
      </c>
      <c r="I63" s="2">
        <v>3.5499999999999997E-2</v>
      </c>
    </row>
    <row r="64" spans="1:9">
      <c r="A64" t="s">
        <v>19</v>
      </c>
      <c r="B64" s="1">
        <v>45352</v>
      </c>
      <c r="C64" s="11">
        <v>16</v>
      </c>
      <c r="D64">
        <v>9</v>
      </c>
      <c r="E64" s="28">
        <v>199.87</v>
      </c>
      <c r="F64">
        <v>9</v>
      </c>
      <c r="G64" s="2">
        <v>1</v>
      </c>
      <c r="H64">
        <v>818.64</v>
      </c>
      <c r="I64" s="2">
        <v>7.46E-2</v>
      </c>
    </row>
    <row r="65" spans="1:9">
      <c r="A65" t="s">
        <v>20</v>
      </c>
      <c r="B65" s="1">
        <v>45352</v>
      </c>
      <c r="C65" s="11">
        <v>30</v>
      </c>
      <c r="D65">
        <v>5</v>
      </c>
      <c r="E65" s="28">
        <v>565.19000000000005</v>
      </c>
      <c r="F65">
        <v>4</v>
      </c>
      <c r="G65" s="2">
        <v>0.8</v>
      </c>
      <c r="H65">
        <v>3621.51</v>
      </c>
      <c r="I65" s="2">
        <v>4.3099999999999999E-2</v>
      </c>
    </row>
    <row r="66" spans="1:9">
      <c r="A66" t="s">
        <v>21</v>
      </c>
      <c r="B66" s="1">
        <v>45352</v>
      </c>
      <c r="C66" s="11">
        <v>68</v>
      </c>
      <c r="D66">
        <v>19</v>
      </c>
      <c r="E66" s="28">
        <v>623.25</v>
      </c>
      <c r="F66">
        <v>3</v>
      </c>
      <c r="G66" s="2">
        <v>0.15789473684210525</v>
      </c>
      <c r="H66">
        <v>355.96</v>
      </c>
      <c r="I66" s="2">
        <v>3.6299999999999999E-2</v>
      </c>
    </row>
    <row r="67" spans="1:9">
      <c r="A67" t="s">
        <v>22</v>
      </c>
      <c r="B67" s="1">
        <v>45352</v>
      </c>
      <c r="C67" s="11">
        <v>31</v>
      </c>
      <c r="D67">
        <v>9</v>
      </c>
      <c r="E67" s="28">
        <v>209.18</v>
      </c>
      <c r="F67">
        <v>2</v>
      </c>
      <c r="G67" s="2">
        <v>0.22222222222222221</v>
      </c>
      <c r="H67">
        <v>4153.3100000000004</v>
      </c>
      <c r="I67" s="2">
        <v>4.0399999999999998E-2</v>
      </c>
    </row>
    <row r="68" spans="1:9">
      <c r="A68" t="s">
        <v>23</v>
      </c>
      <c r="B68" s="1">
        <v>45352</v>
      </c>
      <c r="C68" s="11">
        <v>61</v>
      </c>
      <c r="D68">
        <v>7</v>
      </c>
      <c r="E68" s="28">
        <v>190.5</v>
      </c>
      <c r="F68">
        <v>3</v>
      </c>
      <c r="G68" s="2">
        <v>0.42857142857142855</v>
      </c>
      <c r="H68">
        <v>661.2</v>
      </c>
      <c r="I68" s="2">
        <v>2.7699999999999999E-2</v>
      </c>
    </row>
    <row r="69" spans="1:9">
      <c r="A69" t="s">
        <v>24</v>
      </c>
      <c r="B69" s="1">
        <v>45352</v>
      </c>
      <c r="C69" s="11">
        <v>83</v>
      </c>
      <c r="D69">
        <v>5</v>
      </c>
      <c r="E69" s="28">
        <v>170.12</v>
      </c>
      <c r="F69">
        <v>3</v>
      </c>
      <c r="G69" s="2">
        <v>0.6</v>
      </c>
      <c r="H69">
        <v>1171.95</v>
      </c>
      <c r="I69" s="2">
        <v>7.690000000000001E-2</v>
      </c>
    </row>
    <row r="70" spans="1:9">
      <c r="A70" t="s">
        <v>25</v>
      </c>
      <c r="B70" s="1">
        <v>45352</v>
      </c>
      <c r="C70" s="11">
        <v>74</v>
      </c>
      <c r="D70">
        <v>7</v>
      </c>
      <c r="E70" s="28">
        <v>87.89</v>
      </c>
      <c r="F70">
        <v>7</v>
      </c>
      <c r="G70" s="2">
        <v>1</v>
      </c>
      <c r="H70">
        <v>3848.14</v>
      </c>
      <c r="I70" s="2">
        <v>8.6699999999999999E-2</v>
      </c>
    </row>
    <row r="71" spans="1:9">
      <c r="A71" t="s">
        <v>26</v>
      </c>
      <c r="B71" s="1">
        <v>45352</v>
      </c>
      <c r="C71" s="11">
        <v>21</v>
      </c>
      <c r="D71">
        <v>14</v>
      </c>
      <c r="E71" s="28">
        <v>498.82</v>
      </c>
      <c r="F71">
        <v>5</v>
      </c>
      <c r="G71" s="2">
        <v>0.35714285714285715</v>
      </c>
      <c r="H71">
        <v>4039.26</v>
      </c>
      <c r="I71" s="2">
        <v>3.4000000000000002E-2</v>
      </c>
    </row>
    <row r="72" spans="1:9">
      <c r="A72" t="s">
        <v>27</v>
      </c>
      <c r="B72" s="1">
        <v>45352</v>
      </c>
      <c r="C72" s="11">
        <v>84</v>
      </c>
      <c r="D72">
        <v>15</v>
      </c>
      <c r="E72" s="28">
        <v>163.21</v>
      </c>
      <c r="F72">
        <v>5</v>
      </c>
      <c r="G72" s="2">
        <v>0.33333333333333331</v>
      </c>
      <c r="H72">
        <v>411.36</v>
      </c>
      <c r="I72" s="2">
        <v>0.1014</v>
      </c>
    </row>
    <row r="73" spans="1:9">
      <c r="A73" t="s">
        <v>28</v>
      </c>
      <c r="B73" s="1">
        <v>45352</v>
      </c>
      <c r="C73" s="11">
        <v>64</v>
      </c>
      <c r="D73">
        <v>13</v>
      </c>
      <c r="E73" s="28">
        <v>496.4</v>
      </c>
      <c r="F73">
        <v>0</v>
      </c>
      <c r="G73" s="2">
        <v>0</v>
      </c>
      <c r="H73">
        <v>1306.3800000000001</v>
      </c>
      <c r="I73" s="2">
        <v>1.1000000000000001E-3</v>
      </c>
    </row>
    <row r="74" spans="1:9">
      <c r="A74" t="s">
        <v>29</v>
      </c>
      <c r="B74" s="1">
        <v>45352</v>
      </c>
      <c r="C74" s="11">
        <v>21</v>
      </c>
      <c r="D74">
        <v>13</v>
      </c>
      <c r="E74" s="28">
        <v>315.41000000000003</v>
      </c>
      <c r="F74">
        <v>1</v>
      </c>
      <c r="G74" s="2">
        <v>7.6923076923076927E-2</v>
      </c>
      <c r="H74">
        <v>1692.59</v>
      </c>
      <c r="I74" s="2">
        <v>5.0999999999999997E-2</v>
      </c>
    </row>
    <row r="75" spans="1:9">
      <c r="A75" t="s">
        <v>30</v>
      </c>
      <c r="B75" s="1">
        <v>45352</v>
      </c>
      <c r="C75" s="11">
        <v>110</v>
      </c>
      <c r="D75">
        <v>6</v>
      </c>
      <c r="E75" s="28">
        <v>535.37</v>
      </c>
      <c r="F75">
        <v>2</v>
      </c>
      <c r="G75" s="2">
        <v>0.33333333333333331</v>
      </c>
      <c r="H75">
        <v>3113.29</v>
      </c>
      <c r="I75" s="2">
        <v>3.2099999999999997E-2</v>
      </c>
    </row>
    <row r="76" spans="1:9">
      <c r="A76" t="s">
        <v>31</v>
      </c>
      <c r="B76" s="1">
        <v>45352</v>
      </c>
      <c r="C76" s="11">
        <v>62</v>
      </c>
      <c r="D76">
        <v>8</v>
      </c>
      <c r="E76" s="28">
        <v>198.84</v>
      </c>
      <c r="F76">
        <v>8</v>
      </c>
      <c r="G76" s="2">
        <v>1</v>
      </c>
      <c r="H76">
        <v>534.58000000000004</v>
      </c>
      <c r="I76" s="2">
        <v>8.8000000000000009E-2</v>
      </c>
    </row>
    <row r="77" spans="1:9">
      <c r="A77" t="s">
        <v>32</v>
      </c>
      <c r="B77" s="1">
        <v>45352</v>
      </c>
      <c r="C77" s="11">
        <v>108</v>
      </c>
      <c r="D77">
        <v>14</v>
      </c>
      <c r="E77" s="28">
        <v>416.78</v>
      </c>
      <c r="F77">
        <v>1</v>
      </c>
      <c r="G77" s="2">
        <v>7.1428571428571425E-2</v>
      </c>
      <c r="H77">
        <v>2989.69</v>
      </c>
      <c r="I77" s="2">
        <v>2.5499999999999998E-2</v>
      </c>
    </row>
    <row r="78" spans="1:9">
      <c r="A78" t="s">
        <v>33</v>
      </c>
      <c r="B78" s="1">
        <v>45352</v>
      </c>
      <c r="C78" s="11">
        <v>28</v>
      </c>
      <c r="D78">
        <v>12</v>
      </c>
      <c r="E78" s="28">
        <v>533.85</v>
      </c>
      <c r="F78">
        <v>5</v>
      </c>
      <c r="G78" s="2">
        <v>0.41666666666666669</v>
      </c>
      <c r="H78">
        <v>224.87</v>
      </c>
      <c r="I78" s="2">
        <v>6.480000000000001E-2</v>
      </c>
    </row>
    <row r="79" spans="1:9">
      <c r="A79" t="s">
        <v>34</v>
      </c>
      <c r="B79" s="1">
        <v>45352</v>
      </c>
      <c r="C79" s="11">
        <v>39</v>
      </c>
      <c r="D79">
        <v>16</v>
      </c>
      <c r="E79" s="28">
        <v>312.8</v>
      </c>
      <c r="F79">
        <v>8</v>
      </c>
      <c r="G79" s="2">
        <v>0.5</v>
      </c>
      <c r="H79">
        <v>4592.09</v>
      </c>
      <c r="I79" s="2">
        <v>8.5500000000000007E-2</v>
      </c>
    </row>
    <row r="80" spans="1:9">
      <c r="A80" t="s">
        <v>9</v>
      </c>
      <c r="B80" s="1">
        <v>45383</v>
      </c>
      <c r="C80" s="11">
        <v>69</v>
      </c>
      <c r="D80">
        <v>17</v>
      </c>
      <c r="E80" s="28">
        <v>342.81</v>
      </c>
      <c r="F80">
        <v>6</v>
      </c>
      <c r="G80" s="2">
        <v>0.35294117647058826</v>
      </c>
      <c r="H80">
        <v>3728.2</v>
      </c>
      <c r="I80" s="2">
        <v>2.9600000000000001E-2</v>
      </c>
    </row>
    <row r="81" spans="1:9">
      <c r="A81" t="s">
        <v>10</v>
      </c>
      <c r="B81" s="1">
        <v>45383</v>
      </c>
      <c r="C81" s="11">
        <v>83</v>
      </c>
      <c r="D81">
        <v>11</v>
      </c>
      <c r="E81" s="28">
        <v>365.12</v>
      </c>
      <c r="F81">
        <v>5</v>
      </c>
      <c r="G81" s="2">
        <v>0.45454545454545453</v>
      </c>
      <c r="H81">
        <v>3682.69</v>
      </c>
      <c r="I81" s="2">
        <v>3.8199999999999998E-2</v>
      </c>
    </row>
    <row r="82" spans="1:9">
      <c r="A82" t="s">
        <v>11</v>
      </c>
      <c r="B82" s="1">
        <v>45383</v>
      </c>
      <c r="C82" s="11">
        <v>41</v>
      </c>
      <c r="D82">
        <v>14</v>
      </c>
      <c r="E82" s="28">
        <v>416.88</v>
      </c>
      <c r="F82">
        <v>2</v>
      </c>
      <c r="G82" s="2">
        <v>0.14285714285714285</v>
      </c>
      <c r="H82">
        <v>3638.83</v>
      </c>
      <c r="I82" s="2">
        <v>4.41E-2</v>
      </c>
    </row>
    <row r="83" spans="1:9">
      <c r="A83" t="s">
        <v>12</v>
      </c>
      <c r="B83" s="1">
        <v>45383</v>
      </c>
      <c r="C83" s="11">
        <v>17</v>
      </c>
      <c r="D83">
        <v>7</v>
      </c>
      <c r="E83" s="28">
        <v>81.14</v>
      </c>
      <c r="F83">
        <v>3</v>
      </c>
      <c r="G83" s="2">
        <v>0.42857142857142855</v>
      </c>
      <c r="H83">
        <v>1419.04</v>
      </c>
      <c r="I83" s="2">
        <v>2.9399999999999999E-2</v>
      </c>
    </row>
    <row r="84" spans="1:9">
      <c r="A84" t="s">
        <v>13</v>
      </c>
      <c r="B84" s="1">
        <v>45383</v>
      </c>
      <c r="C84" s="11">
        <v>76</v>
      </c>
      <c r="D84">
        <v>16</v>
      </c>
      <c r="E84" s="28">
        <v>449.04</v>
      </c>
      <c r="F84">
        <v>4</v>
      </c>
      <c r="G84" s="2">
        <v>0.25</v>
      </c>
      <c r="H84">
        <v>1019.97</v>
      </c>
      <c r="I84" s="2">
        <v>3.8100000000000002E-2</v>
      </c>
    </row>
    <row r="85" spans="1:9">
      <c r="A85" t="s">
        <v>14</v>
      </c>
      <c r="B85" s="1">
        <v>45383</v>
      </c>
      <c r="C85" s="11">
        <v>72</v>
      </c>
      <c r="D85">
        <v>6</v>
      </c>
      <c r="E85" s="28">
        <v>508.55</v>
      </c>
      <c r="F85">
        <v>3</v>
      </c>
      <c r="G85" s="2">
        <v>0.5</v>
      </c>
      <c r="H85">
        <v>3633.75</v>
      </c>
      <c r="I85" s="2">
        <v>1.1399999999999999E-2</v>
      </c>
    </row>
    <row r="86" spans="1:9">
      <c r="A86" t="s">
        <v>15</v>
      </c>
      <c r="B86" s="1">
        <v>45383</v>
      </c>
      <c r="C86" s="11">
        <v>72</v>
      </c>
      <c r="D86">
        <v>18</v>
      </c>
      <c r="E86" s="28">
        <v>299.08999999999997</v>
      </c>
      <c r="F86">
        <v>2</v>
      </c>
      <c r="G86" s="2">
        <v>0.1111111111111111</v>
      </c>
      <c r="H86">
        <v>2378.29</v>
      </c>
      <c r="I86" s="2">
        <v>0.1052</v>
      </c>
    </row>
    <row r="87" spans="1:9">
      <c r="A87" t="s">
        <v>16</v>
      </c>
      <c r="B87" s="1">
        <v>45383</v>
      </c>
      <c r="C87" s="11">
        <v>44</v>
      </c>
      <c r="D87">
        <v>6</v>
      </c>
      <c r="E87" s="28">
        <v>246.21</v>
      </c>
      <c r="F87">
        <v>5</v>
      </c>
      <c r="G87" s="2">
        <v>0.83333333333333337</v>
      </c>
      <c r="H87">
        <v>4155.8</v>
      </c>
      <c r="I87" s="2">
        <v>4.3299999999999998E-2</v>
      </c>
    </row>
    <row r="88" spans="1:9">
      <c r="A88" t="s">
        <v>17</v>
      </c>
      <c r="B88" s="1">
        <v>45383</v>
      </c>
      <c r="C88" s="11">
        <v>29</v>
      </c>
      <c r="D88">
        <v>16</v>
      </c>
      <c r="E88" s="28">
        <v>412.07</v>
      </c>
      <c r="F88">
        <v>10</v>
      </c>
      <c r="G88" s="2">
        <v>0.625</v>
      </c>
      <c r="H88">
        <v>1075.94</v>
      </c>
      <c r="I88" s="2">
        <v>6.2400000000000004E-2</v>
      </c>
    </row>
    <row r="89" spans="1:9">
      <c r="A89" t="s">
        <v>18</v>
      </c>
      <c r="B89" s="1">
        <v>45383</v>
      </c>
      <c r="C89" s="11">
        <v>64</v>
      </c>
      <c r="D89">
        <v>13</v>
      </c>
      <c r="E89" s="28">
        <v>317.58</v>
      </c>
      <c r="F89">
        <v>8</v>
      </c>
      <c r="G89" s="2">
        <v>0.61538461538461542</v>
      </c>
      <c r="H89">
        <v>1088.22</v>
      </c>
      <c r="I89" s="2">
        <v>3.49E-2</v>
      </c>
    </row>
    <row r="90" spans="1:9">
      <c r="A90" t="s">
        <v>19</v>
      </c>
      <c r="B90" s="1">
        <v>45383</v>
      </c>
      <c r="C90" s="11">
        <v>16</v>
      </c>
      <c r="D90">
        <v>7</v>
      </c>
      <c r="E90" s="28">
        <v>181.58</v>
      </c>
      <c r="F90">
        <v>6</v>
      </c>
      <c r="G90" s="2">
        <v>0.8571428571428571</v>
      </c>
      <c r="H90">
        <v>868.4</v>
      </c>
      <c r="I90" s="2">
        <v>8.4100000000000008E-2</v>
      </c>
    </row>
    <row r="91" spans="1:9">
      <c r="A91" t="s">
        <v>20</v>
      </c>
      <c r="B91" s="1">
        <v>45383</v>
      </c>
      <c r="C91" s="11">
        <v>37</v>
      </c>
      <c r="D91">
        <v>7</v>
      </c>
      <c r="E91" s="28">
        <v>470.85</v>
      </c>
      <c r="F91">
        <v>7</v>
      </c>
      <c r="G91" s="2">
        <v>1</v>
      </c>
      <c r="H91">
        <v>3483.6</v>
      </c>
      <c r="I91" s="2">
        <v>4.2599999999999999E-2</v>
      </c>
    </row>
    <row r="92" spans="1:9">
      <c r="A92" t="s">
        <v>21</v>
      </c>
      <c r="B92" s="1">
        <v>45383</v>
      </c>
      <c r="C92" s="11">
        <v>81</v>
      </c>
      <c r="D92">
        <v>16</v>
      </c>
      <c r="E92" s="28">
        <v>584.29999999999995</v>
      </c>
      <c r="F92">
        <v>3</v>
      </c>
      <c r="G92" s="2">
        <v>0.1875</v>
      </c>
      <c r="H92">
        <v>377.45</v>
      </c>
      <c r="I92" s="2">
        <v>3.32E-2</v>
      </c>
    </row>
    <row r="93" spans="1:9">
      <c r="A93" t="s">
        <v>22</v>
      </c>
      <c r="B93" s="1">
        <v>45383</v>
      </c>
      <c r="C93" s="11">
        <v>26</v>
      </c>
      <c r="D93">
        <v>6</v>
      </c>
      <c r="E93" s="28">
        <v>231.59</v>
      </c>
      <c r="F93">
        <v>2</v>
      </c>
      <c r="G93" s="2">
        <v>0.33333333333333331</v>
      </c>
      <c r="H93">
        <v>3988.15</v>
      </c>
      <c r="I93" s="2">
        <v>3.8399999999999997E-2</v>
      </c>
    </row>
    <row r="94" spans="1:9">
      <c r="A94" t="s">
        <v>23</v>
      </c>
      <c r="B94" s="1">
        <v>45383</v>
      </c>
      <c r="C94" s="11">
        <v>69</v>
      </c>
      <c r="D94">
        <v>9</v>
      </c>
      <c r="E94" s="28">
        <v>221.01</v>
      </c>
      <c r="F94">
        <v>3</v>
      </c>
      <c r="G94" s="2">
        <v>0.33333333333333331</v>
      </c>
      <c r="H94">
        <v>643.44000000000005</v>
      </c>
      <c r="I94" s="2">
        <v>3.2000000000000001E-2</v>
      </c>
    </row>
    <row r="95" spans="1:9">
      <c r="A95" t="s">
        <v>24</v>
      </c>
      <c r="B95" s="1">
        <v>45383</v>
      </c>
      <c r="C95" s="11">
        <v>103</v>
      </c>
      <c r="D95">
        <v>6</v>
      </c>
      <c r="E95" s="28">
        <v>165.74</v>
      </c>
      <c r="F95">
        <v>6</v>
      </c>
      <c r="G95" s="2">
        <v>1</v>
      </c>
      <c r="H95">
        <v>1169.3800000000001</v>
      </c>
      <c r="I95" s="2">
        <v>7.7699999999999991E-2</v>
      </c>
    </row>
    <row r="96" spans="1:9">
      <c r="A96" t="s">
        <v>25</v>
      </c>
      <c r="B96" s="1">
        <v>45383</v>
      </c>
      <c r="C96" s="11">
        <v>100</v>
      </c>
      <c r="D96">
        <v>7</v>
      </c>
      <c r="E96" s="28">
        <v>82.62</v>
      </c>
      <c r="F96">
        <v>6</v>
      </c>
      <c r="G96" s="2">
        <v>0.8571428571428571</v>
      </c>
      <c r="H96">
        <v>4085.91</v>
      </c>
      <c r="I96" s="2">
        <v>9.0500000000000011E-2</v>
      </c>
    </row>
    <row r="97" spans="1:9">
      <c r="A97" t="s">
        <v>26</v>
      </c>
      <c r="B97" s="1">
        <v>45383</v>
      </c>
      <c r="C97" s="11">
        <v>26</v>
      </c>
      <c r="D97">
        <v>17</v>
      </c>
      <c r="E97" s="28">
        <v>526.34</v>
      </c>
      <c r="F97">
        <v>6</v>
      </c>
      <c r="G97" s="2">
        <v>0.35294117647058826</v>
      </c>
      <c r="H97">
        <v>3360.11</v>
      </c>
      <c r="I97" s="2">
        <v>3.0600000000000002E-2</v>
      </c>
    </row>
    <row r="98" spans="1:9">
      <c r="A98" t="s">
        <v>27</v>
      </c>
      <c r="B98" s="1">
        <v>45383</v>
      </c>
      <c r="C98" s="11">
        <v>104</v>
      </c>
      <c r="D98">
        <v>22</v>
      </c>
      <c r="E98" s="28">
        <v>190.87</v>
      </c>
      <c r="F98">
        <v>4</v>
      </c>
      <c r="G98" s="2">
        <v>0.18181818181818182</v>
      </c>
      <c r="H98">
        <v>433.41</v>
      </c>
      <c r="I98" s="2">
        <v>9.3599999999999989E-2</v>
      </c>
    </row>
    <row r="99" spans="1:9">
      <c r="A99" t="s">
        <v>28</v>
      </c>
      <c r="B99" s="1">
        <v>45383</v>
      </c>
      <c r="C99" s="11">
        <v>63</v>
      </c>
      <c r="D99">
        <v>11</v>
      </c>
      <c r="E99" s="28">
        <v>554.51</v>
      </c>
      <c r="F99">
        <v>1</v>
      </c>
      <c r="G99" s="2">
        <v>9.0909090909090912E-2</v>
      </c>
      <c r="H99">
        <v>1138.51</v>
      </c>
      <c r="I99" s="2">
        <v>1E-3</v>
      </c>
    </row>
    <row r="100" spans="1:9">
      <c r="A100" t="s">
        <v>29</v>
      </c>
      <c r="B100" s="1">
        <v>45383</v>
      </c>
      <c r="C100" s="11">
        <v>22</v>
      </c>
      <c r="D100">
        <v>13</v>
      </c>
      <c r="E100" s="28">
        <v>302.49</v>
      </c>
      <c r="F100">
        <v>2</v>
      </c>
      <c r="G100" s="2">
        <v>0.15384615384615385</v>
      </c>
      <c r="H100">
        <v>1591.45</v>
      </c>
      <c r="I100" s="2">
        <v>4.9599999999999998E-2</v>
      </c>
    </row>
    <row r="101" spans="1:9">
      <c r="A101" t="s">
        <v>30</v>
      </c>
      <c r="B101" s="1">
        <v>45383</v>
      </c>
      <c r="C101" s="11">
        <v>91</v>
      </c>
      <c r="D101">
        <v>5</v>
      </c>
      <c r="E101" s="28">
        <v>605.11</v>
      </c>
      <c r="F101">
        <v>2</v>
      </c>
      <c r="G101" s="2">
        <v>0.4</v>
      </c>
      <c r="H101">
        <v>3499.88</v>
      </c>
      <c r="I101" s="2">
        <v>3.0200000000000001E-2</v>
      </c>
    </row>
    <row r="102" spans="1:9">
      <c r="A102" t="s">
        <v>31</v>
      </c>
      <c r="B102" s="1">
        <v>45383</v>
      </c>
      <c r="C102" s="11">
        <v>77</v>
      </c>
      <c r="D102">
        <v>8</v>
      </c>
      <c r="E102" s="28">
        <v>173.88</v>
      </c>
      <c r="F102">
        <v>6</v>
      </c>
      <c r="G102" s="2">
        <v>0.75</v>
      </c>
      <c r="H102">
        <v>462.44</v>
      </c>
      <c r="I102" s="2">
        <v>7.9899999999999999E-2</v>
      </c>
    </row>
    <row r="103" spans="1:9">
      <c r="A103" t="s">
        <v>32</v>
      </c>
      <c r="B103" s="1">
        <v>45383</v>
      </c>
      <c r="C103" s="11">
        <v>90</v>
      </c>
      <c r="D103">
        <v>17</v>
      </c>
      <c r="E103" s="28">
        <v>366.84</v>
      </c>
      <c r="F103">
        <v>0</v>
      </c>
      <c r="G103" s="2">
        <v>0</v>
      </c>
      <c r="H103">
        <v>3153.56</v>
      </c>
      <c r="I103" s="2">
        <v>2.4500000000000001E-2</v>
      </c>
    </row>
    <row r="104" spans="1:9">
      <c r="A104" t="s">
        <v>33</v>
      </c>
      <c r="B104" s="1">
        <v>45383</v>
      </c>
      <c r="C104" s="11">
        <v>33</v>
      </c>
      <c r="D104">
        <v>9</v>
      </c>
      <c r="E104" s="28">
        <v>578.41999999999996</v>
      </c>
      <c r="F104">
        <v>4</v>
      </c>
      <c r="G104" s="2">
        <v>0.44444444444444442</v>
      </c>
      <c r="H104">
        <v>229.72</v>
      </c>
      <c r="I104" s="2">
        <v>7.46E-2</v>
      </c>
    </row>
    <row r="105" spans="1:9">
      <c r="A105" t="s">
        <v>34</v>
      </c>
      <c r="B105" s="1">
        <v>45383</v>
      </c>
      <c r="C105" s="11">
        <v>42</v>
      </c>
      <c r="D105">
        <v>14</v>
      </c>
      <c r="E105" s="28">
        <v>321.29000000000002</v>
      </c>
      <c r="F105">
        <v>7</v>
      </c>
      <c r="G105" s="2">
        <v>0.5</v>
      </c>
      <c r="H105">
        <v>4298.2700000000004</v>
      </c>
      <c r="I105" s="2">
        <v>7.4499999999999997E-2</v>
      </c>
    </row>
    <row r="106" spans="1:9">
      <c r="A106" t="s">
        <v>9</v>
      </c>
      <c r="B106" s="1">
        <v>45413</v>
      </c>
      <c r="C106" s="11">
        <v>69</v>
      </c>
      <c r="D106">
        <v>16</v>
      </c>
      <c r="E106" s="28">
        <v>299.22000000000003</v>
      </c>
      <c r="F106">
        <v>6</v>
      </c>
      <c r="G106" s="2">
        <v>0.375</v>
      </c>
      <c r="H106">
        <v>3716.14</v>
      </c>
      <c r="I106" s="2">
        <v>2.63E-2</v>
      </c>
    </row>
    <row r="107" spans="1:9">
      <c r="A107" t="s">
        <v>10</v>
      </c>
      <c r="B107" s="1">
        <v>45413</v>
      </c>
      <c r="C107" s="11">
        <v>68</v>
      </c>
      <c r="D107">
        <v>11</v>
      </c>
      <c r="E107" s="28">
        <v>345.62</v>
      </c>
      <c r="F107">
        <v>4</v>
      </c>
      <c r="G107" s="2">
        <v>0.36363636363636365</v>
      </c>
      <c r="H107">
        <v>3558.13</v>
      </c>
      <c r="I107" s="2">
        <v>4.0800000000000003E-2</v>
      </c>
    </row>
    <row r="108" spans="1:9">
      <c r="A108" t="s">
        <v>11</v>
      </c>
      <c r="B108" s="1">
        <v>45413</v>
      </c>
      <c r="C108" s="11">
        <v>45</v>
      </c>
      <c r="D108">
        <v>17</v>
      </c>
      <c r="E108" s="28">
        <v>416.96</v>
      </c>
      <c r="F108">
        <v>3</v>
      </c>
      <c r="G108" s="2">
        <v>0.17647058823529413</v>
      </c>
      <c r="H108">
        <v>3327.07</v>
      </c>
      <c r="I108" s="2">
        <v>4.0999999999999995E-2</v>
      </c>
    </row>
    <row r="109" spans="1:9">
      <c r="A109" t="s">
        <v>12</v>
      </c>
      <c r="B109" s="1">
        <v>45413</v>
      </c>
      <c r="C109" s="11">
        <v>17</v>
      </c>
      <c r="D109">
        <v>8</v>
      </c>
      <c r="E109" s="28">
        <v>72.05</v>
      </c>
      <c r="F109">
        <v>3</v>
      </c>
      <c r="G109" s="2">
        <v>0.375</v>
      </c>
      <c r="H109">
        <v>1672.82</v>
      </c>
      <c r="I109" s="2">
        <v>3.0299999999999997E-2</v>
      </c>
    </row>
    <row r="110" spans="1:9">
      <c r="A110" t="s">
        <v>13</v>
      </c>
      <c r="B110" s="1">
        <v>45413</v>
      </c>
      <c r="C110" s="11">
        <v>85</v>
      </c>
      <c r="D110">
        <v>13</v>
      </c>
      <c r="E110" s="28">
        <v>475.61</v>
      </c>
      <c r="F110">
        <v>5</v>
      </c>
      <c r="G110" s="2">
        <v>0.38461538461538464</v>
      </c>
      <c r="H110">
        <v>939.32</v>
      </c>
      <c r="I110" s="2">
        <v>3.6400000000000002E-2</v>
      </c>
    </row>
    <row r="111" spans="1:9">
      <c r="A111" t="s">
        <v>14</v>
      </c>
      <c r="B111" s="1">
        <v>45413</v>
      </c>
      <c r="C111" s="11">
        <v>49</v>
      </c>
      <c r="D111">
        <v>7</v>
      </c>
      <c r="E111" s="28">
        <v>469.53</v>
      </c>
      <c r="F111">
        <v>3</v>
      </c>
      <c r="G111" s="2">
        <v>0.42857142857142855</v>
      </c>
      <c r="H111">
        <v>3623.32</v>
      </c>
      <c r="I111" s="2">
        <v>1.21E-2</v>
      </c>
    </row>
    <row r="112" spans="1:9">
      <c r="A112" t="s">
        <v>15</v>
      </c>
      <c r="B112" s="1">
        <v>45413</v>
      </c>
      <c r="C112" s="11">
        <v>66</v>
      </c>
      <c r="D112">
        <v>15</v>
      </c>
      <c r="E112" s="28">
        <v>333.1</v>
      </c>
      <c r="F112">
        <v>2</v>
      </c>
      <c r="G112" s="2">
        <v>0.13333333333333333</v>
      </c>
      <c r="H112">
        <v>2631.58</v>
      </c>
      <c r="I112" s="2">
        <v>0.10249999999999999</v>
      </c>
    </row>
    <row r="113" spans="1:9">
      <c r="A113" t="s">
        <v>16</v>
      </c>
      <c r="B113" s="1">
        <v>45413</v>
      </c>
      <c r="C113" s="11">
        <v>63</v>
      </c>
      <c r="D113">
        <v>9</v>
      </c>
      <c r="E113" s="28">
        <v>258.11</v>
      </c>
      <c r="F113">
        <v>7</v>
      </c>
      <c r="G113" s="2">
        <v>0.77777777777777779</v>
      </c>
      <c r="H113">
        <v>4064.36</v>
      </c>
      <c r="I113" s="2">
        <v>4.1599999999999998E-2</v>
      </c>
    </row>
    <row r="114" spans="1:9">
      <c r="A114" t="s">
        <v>17</v>
      </c>
      <c r="B114" s="1">
        <v>45413</v>
      </c>
      <c r="C114" s="11">
        <v>31</v>
      </c>
      <c r="D114">
        <v>20</v>
      </c>
      <c r="E114" s="28">
        <v>400.8</v>
      </c>
      <c r="F114">
        <v>8</v>
      </c>
      <c r="G114" s="2">
        <v>0.4</v>
      </c>
      <c r="H114">
        <v>1294.3599999999999</v>
      </c>
      <c r="I114" s="2">
        <v>5.6399999999999999E-2</v>
      </c>
    </row>
    <row r="115" spans="1:9">
      <c r="A115" t="s">
        <v>18</v>
      </c>
      <c r="B115" s="1">
        <v>45413</v>
      </c>
      <c r="C115" s="11">
        <v>75</v>
      </c>
      <c r="D115">
        <v>19</v>
      </c>
      <c r="E115" s="28">
        <v>343.28</v>
      </c>
      <c r="F115">
        <v>9</v>
      </c>
      <c r="G115" s="2">
        <v>0.47368421052631576</v>
      </c>
      <c r="H115">
        <v>899.46</v>
      </c>
      <c r="I115" s="2">
        <v>3.2199999999999999E-2</v>
      </c>
    </row>
    <row r="116" spans="1:9">
      <c r="A116" t="s">
        <v>19</v>
      </c>
      <c r="B116" s="1">
        <v>45413</v>
      </c>
      <c r="C116" s="11">
        <v>18</v>
      </c>
      <c r="D116">
        <v>7</v>
      </c>
      <c r="E116" s="28">
        <v>204.63</v>
      </c>
      <c r="F116">
        <v>7</v>
      </c>
      <c r="G116" s="2">
        <v>1</v>
      </c>
      <c r="H116">
        <v>789.77</v>
      </c>
      <c r="I116" s="2">
        <v>7.4499999999999997E-2</v>
      </c>
    </row>
    <row r="117" spans="1:9">
      <c r="A117" t="s">
        <v>20</v>
      </c>
      <c r="B117" s="1">
        <v>45413</v>
      </c>
      <c r="C117" s="11">
        <v>35</v>
      </c>
      <c r="D117">
        <v>6</v>
      </c>
      <c r="E117" s="28">
        <v>553.11</v>
      </c>
      <c r="F117">
        <v>4</v>
      </c>
      <c r="G117" s="2">
        <v>0.66666666666666663</v>
      </c>
      <c r="H117">
        <v>3867.67</v>
      </c>
      <c r="I117" s="2">
        <v>3.8300000000000001E-2</v>
      </c>
    </row>
    <row r="118" spans="1:9">
      <c r="A118" t="s">
        <v>21</v>
      </c>
      <c r="B118" s="1">
        <v>45413</v>
      </c>
      <c r="C118" s="11">
        <v>74</v>
      </c>
      <c r="D118">
        <v>20</v>
      </c>
      <c r="E118" s="28">
        <v>623.33000000000004</v>
      </c>
      <c r="F118">
        <v>2</v>
      </c>
      <c r="G118" s="2">
        <v>0.1</v>
      </c>
      <c r="H118">
        <v>359.97</v>
      </c>
      <c r="I118" s="2">
        <v>3.8399999999999997E-2</v>
      </c>
    </row>
    <row r="119" spans="1:9">
      <c r="A119" t="s">
        <v>22</v>
      </c>
      <c r="B119" s="1">
        <v>45413</v>
      </c>
      <c r="C119" s="11">
        <v>26</v>
      </c>
      <c r="D119">
        <v>7</v>
      </c>
      <c r="E119" s="28">
        <v>200.45</v>
      </c>
      <c r="F119">
        <v>1</v>
      </c>
      <c r="G119" s="2">
        <v>0.14285714285714285</v>
      </c>
      <c r="H119">
        <v>3797.35</v>
      </c>
      <c r="I119" s="2">
        <v>4.1399999999999999E-2</v>
      </c>
    </row>
    <row r="120" spans="1:9">
      <c r="A120" t="s">
        <v>23</v>
      </c>
      <c r="B120" s="1">
        <v>45413</v>
      </c>
      <c r="C120" s="11">
        <v>50</v>
      </c>
      <c r="D120">
        <v>7</v>
      </c>
      <c r="E120" s="28">
        <v>196.2</v>
      </c>
      <c r="F120">
        <v>2</v>
      </c>
      <c r="G120" s="2">
        <v>0.2857142857142857</v>
      </c>
      <c r="H120">
        <v>592.71</v>
      </c>
      <c r="I120" s="2">
        <v>2.76E-2</v>
      </c>
    </row>
    <row r="121" spans="1:9">
      <c r="A121" t="s">
        <v>24</v>
      </c>
      <c r="B121" s="1">
        <v>45413</v>
      </c>
      <c r="C121" s="11">
        <v>97</v>
      </c>
      <c r="D121">
        <v>5</v>
      </c>
      <c r="E121" s="28">
        <v>185.62</v>
      </c>
      <c r="F121">
        <v>4</v>
      </c>
      <c r="G121" s="2">
        <v>0.8</v>
      </c>
      <c r="H121">
        <v>1282.81</v>
      </c>
      <c r="I121" s="2">
        <v>7.22E-2</v>
      </c>
    </row>
    <row r="122" spans="1:9">
      <c r="A122" t="s">
        <v>25</v>
      </c>
      <c r="B122" s="1">
        <v>45413</v>
      </c>
      <c r="C122" s="11">
        <v>91</v>
      </c>
      <c r="D122">
        <v>7</v>
      </c>
      <c r="E122" s="28">
        <v>89.39</v>
      </c>
      <c r="F122">
        <v>6</v>
      </c>
      <c r="G122" s="2">
        <v>0.8571428571428571</v>
      </c>
      <c r="H122">
        <v>3971.59</v>
      </c>
      <c r="I122" s="2">
        <v>9.0700000000000003E-2</v>
      </c>
    </row>
    <row r="123" spans="1:9">
      <c r="A123" t="s">
        <v>26</v>
      </c>
      <c r="B123" s="1">
        <v>45413</v>
      </c>
      <c r="C123" s="11">
        <v>21</v>
      </c>
      <c r="D123">
        <v>14</v>
      </c>
      <c r="E123" s="28">
        <v>472.79</v>
      </c>
      <c r="F123">
        <v>8</v>
      </c>
      <c r="G123" s="2">
        <v>0.5714285714285714</v>
      </c>
      <c r="H123">
        <v>3830.32</v>
      </c>
      <c r="I123" s="2">
        <v>3.5200000000000002E-2</v>
      </c>
    </row>
    <row r="124" spans="1:9">
      <c r="A124" t="s">
        <v>27</v>
      </c>
      <c r="B124" s="1">
        <v>45413</v>
      </c>
      <c r="C124" s="11">
        <v>91</v>
      </c>
      <c r="D124">
        <v>15</v>
      </c>
      <c r="E124" s="28">
        <v>173.03</v>
      </c>
      <c r="F124">
        <v>4</v>
      </c>
      <c r="G124" s="2">
        <v>0.26666666666666666</v>
      </c>
      <c r="H124">
        <v>386.08</v>
      </c>
      <c r="I124" s="2">
        <v>9.820000000000001E-2</v>
      </c>
    </row>
    <row r="125" spans="1:9">
      <c r="A125" t="s">
        <v>28</v>
      </c>
      <c r="B125" s="1">
        <v>45413</v>
      </c>
      <c r="C125" s="11">
        <v>67</v>
      </c>
      <c r="D125">
        <v>15</v>
      </c>
      <c r="E125" s="28">
        <v>499.68</v>
      </c>
      <c r="F125">
        <v>0</v>
      </c>
      <c r="G125" s="2">
        <v>0</v>
      </c>
      <c r="H125">
        <v>1287.1300000000001</v>
      </c>
      <c r="I125" s="2">
        <v>1E-3</v>
      </c>
    </row>
    <row r="126" spans="1:9">
      <c r="A126" t="s">
        <v>29</v>
      </c>
      <c r="B126" s="1">
        <v>45413</v>
      </c>
      <c r="C126" s="11">
        <v>19</v>
      </c>
      <c r="D126">
        <v>13</v>
      </c>
      <c r="E126" s="28">
        <v>316.23</v>
      </c>
      <c r="F126">
        <v>1</v>
      </c>
      <c r="G126" s="2">
        <v>7.6923076923076927E-2</v>
      </c>
      <c r="H126">
        <v>1598.49</v>
      </c>
      <c r="I126" s="2">
        <v>5.8299999999999998E-2</v>
      </c>
    </row>
    <row r="127" spans="1:9">
      <c r="A127" t="s">
        <v>30</v>
      </c>
      <c r="B127" s="1">
        <v>45413</v>
      </c>
      <c r="C127" s="11">
        <v>105</v>
      </c>
      <c r="D127">
        <v>6</v>
      </c>
      <c r="E127" s="28">
        <v>567.03</v>
      </c>
      <c r="F127">
        <v>1</v>
      </c>
      <c r="G127" s="2">
        <v>0.16666666666666666</v>
      </c>
      <c r="H127">
        <v>3496.65</v>
      </c>
      <c r="I127" s="2">
        <v>3.0600000000000002E-2</v>
      </c>
    </row>
    <row r="128" spans="1:9">
      <c r="A128" t="s">
        <v>31</v>
      </c>
      <c r="B128" s="1">
        <v>45413</v>
      </c>
      <c r="C128" s="11">
        <v>73</v>
      </c>
      <c r="D128">
        <v>8</v>
      </c>
      <c r="E128" s="28">
        <v>175.52</v>
      </c>
      <c r="F128">
        <v>7</v>
      </c>
      <c r="G128" s="2">
        <v>0.875</v>
      </c>
      <c r="H128">
        <v>455.32</v>
      </c>
      <c r="I128" s="2">
        <v>9.35E-2</v>
      </c>
    </row>
    <row r="129" spans="1:9">
      <c r="A129" t="s">
        <v>32</v>
      </c>
      <c r="B129" s="1">
        <v>45413</v>
      </c>
      <c r="C129" s="11">
        <v>111</v>
      </c>
      <c r="D129">
        <v>13</v>
      </c>
      <c r="E129" s="28">
        <v>358.31</v>
      </c>
      <c r="F129">
        <v>0</v>
      </c>
      <c r="G129" s="2">
        <v>0</v>
      </c>
      <c r="H129">
        <v>2811.77</v>
      </c>
      <c r="I129" s="2">
        <v>2.7099999999999999E-2</v>
      </c>
    </row>
    <row r="130" spans="1:9">
      <c r="A130" t="s">
        <v>33</v>
      </c>
      <c r="B130" s="1">
        <v>45413</v>
      </c>
      <c r="C130" s="11">
        <v>38</v>
      </c>
      <c r="D130">
        <v>12</v>
      </c>
      <c r="E130" s="28">
        <v>556.33000000000004</v>
      </c>
      <c r="F130">
        <v>4</v>
      </c>
      <c r="G130" s="2">
        <v>0.33333333333333331</v>
      </c>
      <c r="H130">
        <v>241.08</v>
      </c>
      <c r="I130" s="2">
        <v>7.0599999999999996E-2</v>
      </c>
    </row>
    <row r="131" spans="1:9">
      <c r="A131" t="s">
        <v>34</v>
      </c>
      <c r="B131" s="1">
        <v>45413</v>
      </c>
      <c r="C131" s="11">
        <v>33</v>
      </c>
      <c r="D131">
        <v>17</v>
      </c>
      <c r="E131" s="28">
        <v>371.65</v>
      </c>
      <c r="F131">
        <v>9</v>
      </c>
      <c r="G131" s="2">
        <v>0.52941176470588236</v>
      </c>
      <c r="H131">
        <v>4068.75</v>
      </c>
      <c r="I131" s="2">
        <v>8.5500000000000007E-2</v>
      </c>
    </row>
    <row r="132" spans="1:9">
      <c r="A132" t="s">
        <v>9</v>
      </c>
      <c r="B132" s="1">
        <v>45444</v>
      </c>
      <c r="C132" s="11">
        <v>59</v>
      </c>
      <c r="D132">
        <v>16</v>
      </c>
      <c r="E132" s="28">
        <v>359.47</v>
      </c>
      <c r="F132">
        <v>7</v>
      </c>
      <c r="G132" s="2">
        <v>0.4375</v>
      </c>
      <c r="H132">
        <v>3958.94</v>
      </c>
      <c r="I132" s="2">
        <v>2.46E-2</v>
      </c>
    </row>
    <row r="133" spans="1:9">
      <c r="A133" t="s">
        <v>10</v>
      </c>
      <c r="B133" s="1">
        <v>45444</v>
      </c>
      <c r="C133" s="11">
        <v>71</v>
      </c>
      <c r="D133">
        <v>11</v>
      </c>
      <c r="E133" s="28">
        <v>379.33</v>
      </c>
      <c r="F133">
        <v>4</v>
      </c>
      <c r="G133" s="2">
        <v>0.36363636363636365</v>
      </c>
      <c r="H133">
        <v>4003.52</v>
      </c>
      <c r="I133" s="2">
        <v>4.2900000000000001E-2</v>
      </c>
    </row>
    <row r="134" spans="1:9">
      <c r="A134" t="s">
        <v>11</v>
      </c>
      <c r="B134" s="1">
        <v>45444</v>
      </c>
      <c r="C134" s="11">
        <v>48</v>
      </c>
      <c r="D134">
        <v>14</v>
      </c>
      <c r="E134" s="28">
        <v>383.94</v>
      </c>
      <c r="F134">
        <v>3</v>
      </c>
      <c r="G134" s="2">
        <v>0.21428571428571427</v>
      </c>
      <c r="H134">
        <v>3173.36</v>
      </c>
      <c r="I134" s="2">
        <v>4.0999999999999995E-2</v>
      </c>
    </row>
    <row r="135" spans="1:9">
      <c r="A135" t="s">
        <v>12</v>
      </c>
      <c r="B135" s="1">
        <v>45444</v>
      </c>
      <c r="C135" s="11">
        <v>18</v>
      </c>
      <c r="D135">
        <v>7</v>
      </c>
      <c r="E135" s="28">
        <v>85.32</v>
      </c>
      <c r="F135">
        <v>3</v>
      </c>
      <c r="G135" s="2">
        <v>0.42857142857142855</v>
      </c>
      <c r="H135">
        <v>1431.69</v>
      </c>
      <c r="I135" s="2">
        <v>3.1600000000000003E-2</v>
      </c>
    </row>
    <row r="136" spans="1:9">
      <c r="A136" t="s">
        <v>13</v>
      </c>
      <c r="B136" s="1">
        <v>45444</v>
      </c>
      <c r="C136" s="11">
        <v>93</v>
      </c>
      <c r="D136">
        <v>14</v>
      </c>
      <c r="E136" s="28">
        <v>466.81</v>
      </c>
      <c r="F136">
        <v>5</v>
      </c>
      <c r="G136" s="2">
        <v>0.35714285714285715</v>
      </c>
      <c r="H136">
        <v>988.98</v>
      </c>
      <c r="I136" s="2">
        <v>4.2300000000000004E-2</v>
      </c>
    </row>
    <row r="137" spans="1:9">
      <c r="A137" t="s">
        <v>14</v>
      </c>
      <c r="B137" s="1">
        <v>45444</v>
      </c>
      <c r="C137" s="11">
        <v>49</v>
      </c>
      <c r="D137">
        <v>7</v>
      </c>
      <c r="E137" s="28">
        <v>512.88</v>
      </c>
      <c r="F137">
        <v>2</v>
      </c>
      <c r="G137" s="2">
        <v>0.2857142857142857</v>
      </c>
      <c r="H137">
        <v>3545.66</v>
      </c>
      <c r="I137" s="2">
        <v>1.2699999999999999E-2</v>
      </c>
    </row>
    <row r="138" spans="1:9">
      <c r="A138" t="s">
        <v>15</v>
      </c>
      <c r="B138" s="1">
        <v>45444</v>
      </c>
      <c r="C138" s="11">
        <v>85</v>
      </c>
      <c r="D138">
        <v>17</v>
      </c>
      <c r="E138" s="28">
        <v>324.56</v>
      </c>
      <c r="F138">
        <v>3</v>
      </c>
      <c r="G138" s="2">
        <v>0.17647058823529413</v>
      </c>
      <c r="H138">
        <v>2420.5300000000002</v>
      </c>
      <c r="I138" s="2">
        <v>8.929999999999999E-2</v>
      </c>
    </row>
    <row r="139" spans="1:9">
      <c r="A139" t="s">
        <v>16</v>
      </c>
      <c r="B139" s="1">
        <v>45444</v>
      </c>
      <c r="C139" s="11">
        <v>61</v>
      </c>
      <c r="D139">
        <v>7</v>
      </c>
      <c r="E139" s="28">
        <v>219.53</v>
      </c>
      <c r="F139">
        <v>7</v>
      </c>
      <c r="G139" s="2">
        <v>1</v>
      </c>
      <c r="H139">
        <v>3860.12</v>
      </c>
      <c r="I139" s="2">
        <v>4.3499999999999997E-2</v>
      </c>
    </row>
    <row r="140" spans="1:9">
      <c r="A140" t="s">
        <v>17</v>
      </c>
      <c r="B140" s="1">
        <v>45444</v>
      </c>
      <c r="C140" s="11">
        <v>30</v>
      </c>
      <c r="D140">
        <v>16</v>
      </c>
      <c r="E140" s="28">
        <v>353.65</v>
      </c>
      <c r="F140">
        <v>9</v>
      </c>
      <c r="G140" s="2">
        <v>0.5625</v>
      </c>
      <c r="H140">
        <v>1213.5899999999999</v>
      </c>
      <c r="I140" s="2">
        <v>6.2E-2</v>
      </c>
    </row>
    <row r="141" spans="1:9">
      <c r="A141" t="s">
        <v>18</v>
      </c>
      <c r="B141" s="1">
        <v>45444</v>
      </c>
      <c r="C141" s="11">
        <v>54</v>
      </c>
      <c r="D141">
        <v>16</v>
      </c>
      <c r="E141" s="28">
        <v>334.41</v>
      </c>
      <c r="F141">
        <v>9</v>
      </c>
      <c r="G141" s="2">
        <v>0.5625</v>
      </c>
      <c r="H141">
        <v>1056.98</v>
      </c>
      <c r="I141" s="2">
        <v>3.5200000000000002E-2</v>
      </c>
    </row>
    <row r="142" spans="1:9">
      <c r="A142" t="s">
        <v>19</v>
      </c>
      <c r="B142" s="1">
        <v>45444</v>
      </c>
      <c r="C142" s="11">
        <v>19</v>
      </c>
      <c r="D142">
        <v>7</v>
      </c>
      <c r="E142" s="28">
        <v>199.46</v>
      </c>
      <c r="F142">
        <v>7</v>
      </c>
      <c r="G142" s="2">
        <v>1</v>
      </c>
      <c r="H142">
        <v>809.56</v>
      </c>
      <c r="I142" s="2">
        <v>7.1399999999999991E-2</v>
      </c>
    </row>
    <row r="143" spans="1:9">
      <c r="A143" t="s">
        <v>20</v>
      </c>
      <c r="B143" s="1">
        <v>45444</v>
      </c>
      <c r="C143" s="11">
        <v>40</v>
      </c>
      <c r="D143">
        <v>6</v>
      </c>
      <c r="E143" s="28">
        <v>509.67</v>
      </c>
      <c r="F143">
        <v>4</v>
      </c>
      <c r="G143" s="2">
        <v>0.66666666666666663</v>
      </c>
      <c r="H143">
        <v>3330.44</v>
      </c>
      <c r="I143" s="2">
        <v>3.8300000000000001E-2</v>
      </c>
    </row>
    <row r="144" spans="1:9">
      <c r="A144" t="s">
        <v>21</v>
      </c>
      <c r="B144" s="1">
        <v>45444</v>
      </c>
      <c r="C144" s="11">
        <v>73</v>
      </c>
      <c r="D144">
        <v>21</v>
      </c>
      <c r="E144" s="28">
        <v>601.02</v>
      </c>
      <c r="F144">
        <v>2</v>
      </c>
      <c r="G144" s="2">
        <v>9.5238095238095233E-2</v>
      </c>
      <c r="H144">
        <v>364.56</v>
      </c>
      <c r="I144" s="2">
        <v>3.4300000000000004E-2</v>
      </c>
    </row>
    <row r="145" spans="1:9">
      <c r="A145" t="s">
        <v>22</v>
      </c>
      <c r="B145" s="1">
        <v>45444</v>
      </c>
      <c r="C145" s="11">
        <v>36</v>
      </c>
      <c r="D145">
        <v>9</v>
      </c>
      <c r="E145" s="28">
        <v>196.74</v>
      </c>
      <c r="F145">
        <v>1</v>
      </c>
      <c r="G145" s="2">
        <v>0.1111111111111111</v>
      </c>
      <c r="H145">
        <v>3760.57</v>
      </c>
      <c r="I145" s="2">
        <v>3.9800000000000002E-2</v>
      </c>
    </row>
    <row r="146" spans="1:9">
      <c r="A146" t="s">
        <v>23</v>
      </c>
      <c r="B146" s="1">
        <v>45444</v>
      </c>
      <c r="C146" s="11">
        <v>58</v>
      </c>
      <c r="D146">
        <v>8</v>
      </c>
      <c r="E146" s="28">
        <v>196.58</v>
      </c>
      <c r="F146">
        <v>3</v>
      </c>
      <c r="G146" s="2">
        <v>0.375</v>
      </c>
      <c r="H146">
        <v>692.47</v>
      </c>
      <c r="I146" s="2">
        <v>3.27E-2</v>
      </c>
    </row>
    <row r="147" spans="1:9">
      <c r="A147" t="s">
        <v>24</v>
      </c>
      <c r="B147" s="1">
        <v>45444</v>
      </c>
      <c r="C147" s="11">
        <v>100</v>
      </c>
      <c r="D147">
        <v>5</v>
      </c>
      <c r="E147" s="28">
        <v>153.87</v>
      </c>
      <c r="F147">
        <v>2</v>
      </c>
      <c r="G147" s="2">
        <v>0.4</v>
      </c>
      <c r="H147">
        <v>1190.24</v>
      </c>
      <c r="I147" s="2">
        <v>8.0600000000000005E-2</v>
      </c>
    </row>
    <row r="148" spans="1:9">
      <c r="A148" t="s">
        <v>25</v>
      </c>
      <c r="B148" s="1">
        <v>45444</v>
      </c>
      <c r="C148" s="11">
        <v>93</v>
      </c>
      <c r="D148">
        <v>5</v>
      </c>
      <c r="E148" s="28">
        <v>85.65</v>
      </c>
      <c r="F148">
        <v>5</v>
      </c>
      <c r="G148" s="2">
        <v>1</v>
      </c>
      <c r="H148">
        <v>3913.17</v>
      </c>
      <c r="I148" s="2">
        <v>9.5700000000000007E-2</v>
      </c>
    </row>
    <row r="149" spans="1:9">
      <c r="A149" t="s">
        <v>26</v>
      </c>
      <c r="B149" s="1">
        <v>45444</v>
      </c>
      <c r="C149" s="11">
        <v>28</v>
      </c>
      <c r="D149">
        <v>16</v>
      </c>
      <c r="E149" s="28">
        <v>506.95</v>
      </c>
      <c r="F149">
        <v>6</v>
      </c>
      <c r="G149" s="2">
        <v>0.375</v>
      </c>
      <c r="H149">
        <v>3993.03</v>
      </c>
      <c r="I149" s="2">
        <v>3.0600000000000002E-2</v>
      </c>
    </row>
    <row r="150" spans="1:9">
      <c r="A150" t="s">
        <v>27</v>
      </c>
      <c r="B150" s="1">
        <v>45444</v>
      </c>
      <c r="C150" s="11">
        <v>88</v>
      </c>
      <c r="D150">
        <v>18</v>
      </c>
      <c r="E150" s="28">
        <v>181.21</v>
      </c>
      <c r="F150">
        <v>4</v>
      </c>
      <c r="G150" s="2">
        <v>0.22222222222222221</v>
      </c>
      <c r="H150">
        <v>377.13</v>
      </c>
      <c r="I150" s="2">
        <v>0.10009999999999999</v>
      </c>
    </row>
    <row r="151" spans="1:9">
      <c r="A151" t="s">
        <v>28</v>
      </c>
      <c r="B151" s="1">
        <v>45444</v>
      </c>
      <c r="C151" s="11">
        <v>69</v>
      </c>
      <c r="D151">
        <v>16</v>
      </c>
      <c r="E151" s="28">
        <v>495.32</v>
      </c>
      <c r="F151">
        <v>0</v>
      </c>
      <c r="G151" s="2">
        <v>0</v>
      </c>
      <c r="H151">
        <v>1262.99</v>
      </c>
      <c r="I151" s="2">
        <v>1E-3</v>
      </c>
    </row>
    <row r="152" spans="1:9">
      <c r="A152" t="s">
        <v>29</v>
      </c>
      <c r="B152" s="1">
        <v>45444</v>
      </c>
      <c r="C152" s="11">
        <v>21</v>
      </c>
      <c r="D152">
        <v>16</v>
      </c>
      <c r="E152" s="28">
        <v>315.91000000000003</v>
      </c>
      <c r="F152">
        <v>1</v>
      </c>
      <c r="G152" s="2">
        <v>6.25E-2</v>
      </c>
      <c r="H152">
        <v>1455.83</v>
      </c>
      <c r="I152" s="2">
        <v>5.1299999999999998E-2</v>
      </c>
    </row>
    <row r="153" spans="1:9">
      <c r="A153" t="s">
        <v>30</v>
      </c>
      <c r="B153" s="1">
        <v>45444</v>
      </c>
      <c r="C153" s="11">
        <v>92</v>
      </c>
      <c r="D153">
        <v>5</v>
      </c>
      <c r="E153" s="28">
        <v>569.75</v>
      </c>
      <c r="F153">
        <v>2</v>
      </c>
      <c r="G153" s="2">
        <v>0.4</v>
      </c>
      <c r="H153">
        <v>3734.43</v>
      </c>
      <c r="I153" s="2">
        <v>2.76E-2</v>
      </c>
    </row>
    <row r="154" spans="1:9">
      <c r="A154" t="s">
        <v>31</v>
      </c>
      <c r="B154" s="1">
        <v>45444</v>
      </c>
      <c r="C154" s="11">
        <v>58</v>
      </c>
      <c r="D154">
        <v>7</v>
      </c>
      <c r="E154" s="28">
        <v>173.24</v>
      </c>
      <c r="F154">
        <v>7</v>
      </c>
      <c r="G154" s="2">
        <v>1</v>
      </c>
      <c r="H154">
        <v>525.73</v>
      </c>
      <c r="I154" s="2">
        <v>8.2299999999999998E-2</v>
      </c>
    </row>
    <row r="155" spans="1:9">
      <c r="A155" t="s">
        <v>32</v>
      </c>
      <c r="B155" s="1">
        <v>45444</v>
      </c>
      <c r="C155" s="11">
        <v>114</v>
      </c>
      <c r="D155">
        <v>13</v>
      </c>
      <c r="E155" s="28">
        <v>364.35</v>
      </c>
      <c r="F155">
        <v>0</v>
      </c>
      <c r="G155" s="2">
        <v>0</v>
      </c>
      <c r="H155">
        <v>2988.28</v>
      </c>
      <c r="I155" s="2">
        <v>2.58E-2</v>
      </c>
    </row>
    <row r="156" spans="1:9">
      <c r="A156" t="s">
        <v>33</v>
      </c>
      <c r="B156" s="1">
        <v>45444</v>
      </c>
      <c r="C156" s="11">
        <v>35</v>
      </c>
      <c r="D156">
        <v>12</v>
      </c>
      <c r="E156" s="28">
        <v>515.24</v>
      </c>
      <c r="F156">
        <v>5</v>
      </c>
      <c r="G156" s="2">
        <v>0.41666666666666669</v>
      </c>
      <c r="H156">
        <v>224.24</v>
      </c>
      <c r="I156" s="2">
        <v>6.9800000000000001E-2</v>
      </c>
    </row>
    <row r="157" spans="1:9">
      <c r="A157" t="s">
        <v>34</v>
      </c>
      <c r="B157" s="1">
        <v>45444</v>
      </c>
      <c r="C157" s="11">
        <v>35</v>
      </c>
      <c r="D157">
        <v>16</v>
      </c>
      <c r="E157" s="28">
        <v>351.71</v>
      </c>
      <c r="F157">
        <v>9</v>
      </c>
      <c r="G157" s="2">
        <v>0.5625</v>
      </c>
      <c r="H157">
        <v>3984.69</v>
      </c>
      <c r="I157" s="2">
        <v>7.4099999999999999E-2</v>
      </c>
    </row>
    <row r="158" spans="1:9">
      <c r="A158" t="s">
        <v>9</v>
      </c>
      <c r="B158" s="1">
        <v>45474</v>
      </c>
      <c r="C158" s="11">
        <v>71</v>
      </c>
      <c r="D158">
        <v>17</v>
      </c>
      <c r="E158" s="28">
        <v>360.1</v>
      </c>
      <c r="F158">
        <v>6</v>
      </c>
      <c r="G158" s="2">
        <v>0.35294117647058826</v>
      </c>
      <c r="H158">
        <v>4444.83</v>
      </c>
      <c r="I158" s="2">
        <v>2.9500000000000002E-2</v>
      </c>
    </row>
    <row r="159" spans="1:9">
      <c r="A159" t="s">
        <v>10</v>
      </c>
      <c r="B159" s="1">
        <v>45474</v>
      </c>
      <c r="C159" s="11">
        <v>62</v>
      </c>
      <c r="D159">
        <v>13</v>
      </c>
      <c r="E159" s="28">
        <v>364.64</v>
      </c>
      <c r="F159">
        <v>4</v>
      </c>
      <c r="G159" s="2">
        <v>0.30769230769230771</v>
      </c>
      <c r="H159">
        <v>3704.33</v>
      </c>
      <c r="I159" s="2">
        <v>3.7499999999999999E-2</v>
      </c>
    </row>
    <row r="160" spans="1:9">
      <c r="A160" t="s">
        <v>11</v>
      </c>
      <c r="B160" s="1">
        <v>45474</v>
      </c>
      <c r="C160" s="11">
        <v>53</v>
      </c>
      <c r="D160">
        <v>14</v>
      </c>
      <c r="E160" s="28">
        <v>367.56</v>
      </c>
      <c r="F160">
        <v>2</v>
      </c>
      <c r="G160" s="2">
        <v>0.14285714285714285</v>
      </c>
      <c r="H160">
        <v>3514.07</v>
      </c>
      <c r="I160" s="2">
        <v>4.0099999999999997E-2</v>
      </c>
    </row>
    <row r="161" spans="1:9">
      <c r="A161" t="s">
        <v>12</v>
      </c>
      <c r="B161" s="1">
        <v>45474</v>
      </c>
      <c r="C161" s="11">
        <v>18</v>
      </c>
      <c r="D161">
        <v>6</v>
      </c>
      <c r="E161" s="28">
        <v>76.27</v>
      </c>
      <c r="F161">
        <v>4</v>
      </c>
      <c r="G161" s="2">
        <v>0.66666666666666663</v>
      </c>
      <c r="H161">
        <v>1597.98</v>
      </c>
      <c r="I161" s="2">
        <v>2.81E-2</v>
      </c>
    </row>
    <row r="162" spans="1:9">
      <c r="A162" t="s">
        <v>13</v>
      </c>
      <c r="B162" s="1">
        <v>45474</v>
      </c>
      <c r="C162" s="11">
        <v>71</v>
      </c>
      <c r="D162">
        <v>12</v>
      </c>
      <c r="E162" s="28">
        <v>487.04</v>
      </c>
      <c r="F162">
        <v>5</v>
      </c>
      <c r="G162" s="2">
        <v>0.41666666666666669</v>
      </c>
      <c r="H162">
        <v>1004.9</v>
      </c>
      <c r="I162" s="2">
        <v>4.2099999999999999E-2</v>
      </c>
    </row>
    <row r="163" spans="1:9">
      <c r="A163" t="s">
        <v>14</v>
      </c>
      <c r="B163" s="1">
        <v>45474</v>
      </c>
      <c r="C163" s="11">
        <v>70</v>
      </c>
      <c r="D163">
        <v>5</v>
      </c>
      <c r="E163" s="28">
        <v>491.31</v>
      </c>
      <c r="F163">
        <v>3</v>
      </c>
      <c r="G163" s="2">
        <v>0.6</v>
      </c>
      <c r="H163">
        <v>3289.06</v>
      </c>
      <c r="I163" s="2">
        <v>1.1299999999999999E-2</v>
      </c>
    </row>
    <row r="164" spans="1:9">
      <c r="A164" t="s">
        <v>15</v>
      </c>
      <c r="B164" s="1">
        <v>45474</v>
      </c>
      <c r="C164" s="11">
        <v>77</v>
      </c>
      <c r="D164">
        <v>15</v>
      </c>
      <c r="E164" s="28">
        <v>282.58999999999997</v>
      </c>
      <c r="F164">
        <v>2</v>
      </c>
      <c r="G164" s="2">
        <v>0.13333333333333333</v>
      </c>
      <c r="H164">
        <v>2296.14</v>
      </c>
      <c r="I164" s="2">
        <v>9.5799999999999996E-2</v>
      </c>
    </row>
    <row r="165" spans="1:9">
      <c r="A165" t="s">
        <v>16</v>
      </c>
      <c r="B165" s="1">
        <v>45474</v>
      </c>
      <c r="C165" s="11">
        <v>50</v>
      </c>
      <c r="D165">
        <v>9</v>
      </c>
      <c r="E165" s="28">
        <v>246.06</v>
      </c>
      <c r="F165">
        <v>5</v>
      </c>
      <c r="G165" s="2">
        <v>0.55555555555555558</v>
      </c>
      <c r="H165">
        <v>4227.22</v>
      </c>
      <c r="I165" s="2">
        <v>3.7200000000000004E-2</v>
      </c>
    </row>
    <row r="166" spans="1:9">
      <c r="A166" t="s">
        <v>17</v>
      </c>
      <c r="B166" s="1">
        <v>45474</v>
      </c>
      <c r="C166" s="11">
        <v>31</v>
      </c>
      <c r="D166">
        <v>15</v>
      </c>
      <c r="E166" s="28">
        <v>347.38</v>
      </c>
      <c r="F166">
        <v>10</v>
      </c>
      <c r="G166" s="2">
        <v>0.66666666666666663</v>
      </c>
      <c r="H166">
        <v>1101.06</v>
      </c>
      <c r="I166" s="2">
        <v>6.0100000000000001E-2</v>
      </c>
    </row>
    <row r="167" spans="1:9">
      <c r="A167" t="s">
        <v>18</v>
      </c>
      <c r="B167" s="1">
        <v>45474</v>
      </c>
      <c r="C167" s="11">
        <v>77</v>
      </c>
      <c r="D167">
        <v>16</v>
      </c>
      <c r="E167" s="28">
        <v>335.59</v>
      </c>
      <c r="F167">
        <v>7</v>
      </c>
      <c r="G167" s="2">
        <v>0.4375</v>
      </c>
      <c r="H167">
        <v>1087.4100000000001</v>
      </c>
      <c r="I167" s="2">
        <v>3.6900000000000002E-2</v>
      </c>
    </row>
    <row r="168" spans="1:9">
      <c r="A168" t="s">
        <v>19</v>
      </c>
      <c r="B168" s="1">
        <v>45474</v>
      </c>
      <c r="C168" s="11">
        <v>17</v>
      </c>
      <c r="D168">
        <v>8</v>
      </c>
      <c r="E168" s="28">
        <v>208.21</v>
      </c>
      <c r="F168">
        <v>4</v>
      </c>
      <c r="G168" s="2">
        <v>0.5</v>
      </c>
      <c r="H168">
        <v>828.73</v>
      </c>
      <c r="I168" s="2">
        <v>7.4200000000000002E-2</v>
      </c>
    </row>
    <row r="169" spans="1:9">
      <c r="A169" t="s">
        <v>20</v>
      </c>
      <c r="B169" s="1">
        <v>45474</v>
      </c>
      <c r="C169" s="11">
        <v>32</v>
      </c>
      <c r="D169">
        <v>6</v>
      </c>
      <c r="E169" s="28">
        <v>553.58000000000004</v>
      </c>
      <c r="F169">
        <v>3</v>
      </c>
      <c r="G169" s="2">
        <v>0.5</v>
      </c>
      <c r="H169">
        <v>3939.56</v>
      </c>
      <c r="I169" s="2">
        <v>3.78E-2</v>
      </c>
    </row>
    <row r="170" spans="1:9">
      <c r="A170" t="s">
        <v>21</v>
      </c>
      <c r="B170" s="1">
        <v>45474</v>
      </c>
      <c r="C170" s="11">
        <v>72</v>
      </c>
      <c r="D170">
        <v>21</v>
      </c>
      <c r="E170" s="28">
        <v>604.57000000000005</v>
      </c>
      <c r="F170">
        <v>2</v>
      </c>
      <c r="G170" s="2">
        <v>9.5238095238095233E-2</v>
      </c>
      <c r="H170">
        <v>327.82</v>
      </c>
      <c r="I170" s="2">
        <v>3.6699999999999997E-2</v>
      </c>
    </row>
    <row r="171" spans="1:9">
      <c r="A171" t="s">
        <v>22</v>
      </c>
      <c r="B171" s="1">
        <v>45474</v>
      </c>
      <c r="C171" s="11">
        <v>34</v>
      </c>
      <c r="D171">
        <v>7</v>
      </c>
      <c r="E171" s="28">
        <v>199.39</v>
      </c>
      <c r="F171">
        <v>1</v>
      </c>
      <c r="G171" s="2">
        <v>0.14285714285714285</v>
      </c>
      <c r="H171">
        <v>3767.74</v>
      </c>
      <c r="I171" s="2">
        <v>3.85E-2</v>
      </c>
    </row>
    <row r="172" spans="1:9">
      <c r="A172" t="s">
        <v>23</v>
      </c>
      <c r="B172" s="1">
        <v>45474</v>
      </c>
      <c r="C172" s="11">
        <v>71</v>
      </c>
      <c r="D172">
        <v>9</v>
      </c>
      <c r="E172" s="28">
        <v>220.4</v>
      </c>
      <c r="F172">
        <v>2</v>
      </c>
      <c r="G172" s="2">
        <v>0.22222222222222221</v>
      </c>
      <c r="H172">
        <v>692.29</v>
      </c>
      <c r="I172" s="2">
        <v>2.8999999999999998E-2</v>
      </c>
    </row>
    <row r="173" spans="1:9">
      <c r="A173" t="s">
        <v>24</v>
      </c>
      <c r="B173" s="1">
        <v>45474</v>
      </c>
      <c r="C173" s="11">
        <v>83</v>
      </c>
      <c r="D173">
        <v>5</v>
      </c>
      <c r="E173" s="28">
        <v>166.85</v>
      </c>
      <c r="F173">
        <v>4</v>
      </c>
      <c r="G173" s="2">
        <v>0.8</v>
      </c>
      <c r="H173">
        <v>1364.24</v>
      </c>
      <c r="I173" s="2">
        <v>8.3100000000000007E-2</v>
      </c>
    </row>
    <row r="174" spans="1:9">
      <c r="A174" t="s">
        <v>25</v>
      </c>
      <c r="B174" s="1">
        <v>45474</v>
      </c>
      <c r="C174" s="11">
        <v>71</v>
      </c>
      <c r="D174">
        <v>7</v>
      </c>
      <c r="E174" s="28">
        <v>78.53</v>
      </c>
      <c r="F174">
        <v>4</v>
      </c>
      <c r="G174" s="2">
        <v>0.5714285714285714</v>
      </c>
      <c r="H174">
        <v>3652.64</v>
      </c>
      <c r="I174" s="2">
        <v>8.6999999999999994E-2</v>
      </c>
    </row>
    <row r="175" spans="1:9">
      <c r="A175" t="s">
        <v>26</v>
      </c>
      <c r="B175" s="1">
        <v>45474</v>
      </c>
      <c r="C175" s="11">
        <v>24</v>
      </c>
      <c r="D175">
        <v>13</v>
      </c>
      <c r="E175" s="28">
        <v>471.72</v>
      </c>
      <c r="F175">
        <v>7</v>
      </c>
      <c r="G175" s="2">
        <v>0.53846153846153844</v>
      </c>
      <c r="H175">
        <v>3588.89</v>
      </c>
      <c r="I175" s="2">
        <v>3.5400000000000001E-2</v>
      </c>
    </row>
    <row r="176" spans="1:9">
      <c r="A176" t="s">
        <v>27</v>
      </c>
      <c r="B176" s="1">
        <v>45474</v>
      </c>
      <c r="C176" s="11">
        <v>75</v>
      </c>
      <c r="D176">
        <v>17</v>
      </c>
      <c r="E176" s="28">
        <v>176.07</v>
      </c>
      <c r="F176">
        <v>5</v>
      </c>
      <c r="G176" s="2">
        <v>0.29411764705882354</v>
      </c>
      <c r="H176">
        <v>458.18</v>
      </c>
      <c r="I176" s="2">
        <v>9.9399999999999988E-2</v>
      </c>
    </row>
    <row r="177" spans="1:9">
      <c r="A177" t="s">
        <v>28</v>
      </c>
      <c r="B177" s="1">
        <v>45474</v>
      </c>
      <c r="C177" s="11">
        <v>76</v>
      </c>
      <c r="D177">
        <v>11</v>
      </c>
      <c r="E177" s="28">
        <v>486.93</v>
      </c>
      <c r="F177">
        <v>0</v>
      </c>
      <c r="G177" s="2">
        <v>0</v>
      </c>
      <c r="H177">
        <v>1219.29</v>
      </c>
      <c r="I177" s="2">
        <v>1E-3</v>
      </c>
    </row>
    <row r="178" spans="1:9">
      <c r="A178" t="s">
        <v>29</v>
      </c>
      <c r="B178" s="1">
        <v>45474</v>
      </c>
      <c r="C178" s="11">
        <v>20</v>
      </c>
      <c r="D178">
        <v>14</v>
      </c>
      <c r="E178" s="28">
        <v>283.66000000000003</v>
      </c>
      <c r="F178">
        <v>2</v>
      </c>
      <c r="G178" s="2">
        <v>0.14285714285714285</v>
      </c>
      <c r="H178">
        <v>1494.14</v>
      </c>
      <c r="I178" s="2">
        <v>5.7800000000000004E-2</v>
      </c>
    </row>
    <row r="179" spans="1:9">
      <c r="A179" t="s">
        <v>30</v>
      </c>
      <c r="B179" s="1">
        <v>45474</v>
      </c>
      <c r="C179" s="11">
        <v>79</v>
      </c>
      <c r="D179">
        <v>6</v>
      </c>
      <c r="E179" s="28">
        <v>536.04999999999995</v>
      </c>
      <c r="F179">
        <v>1</v>
      </c>
      <c r="G179" s="2">
        <v>0.16666666666666666</v>
      </c>
      <c r="H179">
        <v>3682.29</v>
      </c>
      <c r="I179" s="2">
        <v>3.2099999999999997E-2</v>
      </c>
    </row>
    <row r="180" spans="1:9">
      <c r="A180" t="s">
        <v>31</v>
      </c>
      <c r="B180" s="1">
        <v>45474</v>
      </c>
      <c r="C180" s="11">
        <v>82</v>
      </c>
      <c r="D180">
        <v>9</v>
      </c>
      <c r="E180" s="28">
        <v>171.86</v>
      </c>
      <c r="F180">
        <v>7</v>
      </c>
      <c r="G180" s="2">
        <v>0.77777777777777779</v>
      </c>
      <c r="H180">
        <v>506.88</v>
      </c>
      <c r="I180" s="2">
        <v>9.4100000000000003E-2</v>
      </c>
    </row>
    <row r="181" spans="1:9">
      <c r="A181" t="s">
        <v>32</v>
      </c>
      <c r="B181" s="1">
        <v>45474</v>
      </c>
      <c r="C181" s="11">
        <v>103</v>
      </c>
      <c r="D181">
        <v>15</v>
      </c>
      <c r="E181" s="28">
        <v>359.16</v>
      </c>
      <c r="F181">
        <v>1</v>
      </c>
      <c r="G181" s="2">
        <v>6.6666666666666666E-2</v>
      </c>
      <c r="H181">
        <v>2949.94</v>
      </c>
      <c r="I181" s="2">
        <v>2.3599999999999999E-2</v>
      </c>
    </row>
    <row r="182" spans="1:9">
      <c r="A182" t="s">
        <v>33</v>
      </c>
      <c r="B182" s="1">
        <v>45474</v>
      </c>
      <c r="C182" s="11">
        <v>41</v>
      </c>
      <c r="D182">
        <v>9</v>
      </c>
      <c r="E182" s="28">
        <v>569.97</v>
      </c>
      <c r="F182">
        <v>5</v>
      </c>
      <c r="G182" s="2">
        <v>0.55555555555555558</v>
      </c>
      <c r="H182">
        <v>259.86</v>
      </c>
      <c r="I182" s="2">
        <v>6.3299999999999995E-2</v>
      </c>
    </row>
    <row r="183" spans="1:9">
      <c r="A183" t="s">
        <v>34</v>
      </c>
      <c r="B183" s="1">
        <v>45474</v>
      </c>
      <c r="C183" s="11">
        <v>38</v>
      </c>
      <c r="D183">
        <v>14</v>
      </c>
      <c r="E183" s="28">
        <v>359.22</v>
      </c>
      <c r="F183">
        <v>8</v>
      </c>
      <c r="G183" s="2">
        <v>0.5714285714285714</v>
      </c>
      <c r="H183">
        <v>3846.34</v>
      </c>
      <c r="I183" s="2">
        <v>8.5900000000000004E-2</v>
      </c>
    </row>
    <row r="184" spans="1:9">
      <c r="A184" t="s">
        <v>9</v>
      </c>
      <c r="B184" s="1">
        <v>45505</v>
      </c>
      <c r="C184" s="11">
        <v>71</v>
      </c>
      <c r="D184">
        <v>15</v>
      </c>
      <c r="E184" s="28">
        <v>297.05</v>
      </c>
      <c r="F184">
        <v>6</v>
      </c>
      <c r="G184" s="2">
        <v>0.4</v>
      </c>
      <c r="H184">
        <v>4043.62</v>
      </c>
      <c r="I184" s="2">
        <v>2.7200000000000002E-2</v>
      </c>
    </row>
    <row r="185" spans="1:9">
      <c r="A185" t="s">
        <v>10</v>
      </c>
      <c r="B185" s="1">
        <v>45505</v>
      </c>
      <c r="C185" s="11">
        <v>66</v>
      </c>
      <c r="D185">
        <v>13</v>
      </c>
      <c r="E185" s="28">
        <v>376.76</v>
      </c>
      <c r="F185">
        <v>5</v>
      </c>
      <c r="G185" s="2">
        <v>0.38461538461538464</v>
      </c>
      <c r="H185">
        <v>3819.73</v>
      </c>
      <c r="I185" s="2">
        <v>4.4900000000000002E-2</v>
      </c>
    </row>
    <row r="186" spans="1:9">
      <c r="A186" t="s">
        <v>11</v>
      </c>
      <c r="B186" s="1">
        <v>45505</v>
      </c>
      <c r="C186" s="11">
        <v>53</v>
      </c>
      <c r="D186">
        <v>15</v>
      </c>
      <c r="E186" s="28">
        <v>379.29</v>
      </c>
      <c r="F186">
        <v>2</v>
      </c>
      <c r="G186" s="2">
        <v>0.13333333333333333</v>
      </c>
      <c r="H186">
        <v>3409.69</v>
      </c>
      <c r="I186" s="2">
        <v>4.41E-2</v>
      </c>
    </row>
    <row r="187" spans="1:9">
      <c r="A187" t="s">
        <v>12</v>
      </c>
      <c r="B187" s="1">
        <v>45505</v>
      </c>
      <c r="C187" s="11">
        <v>18</v>
      </c>
      <c r="D187">
        <v>8</v>
      </c>
      <c r="E187" s="28">
        <v>82.91</v>
      </c>
      <c r="F187">
        <v>3</v>
      </c>
      <c r="G187" s="2">
        <v>0.375</v>
      </c>
      <c r="H187">
        <v>1387.86</v>
      </c>
      <c r="I187" s="2">
        <v>3.0099999999999998E-2</v>
      </c>
    </row>
    <row r="188" spans="1:9">
      <c r="A188" t="s">
        <v>13</v>
      </c>
      <c r="B188" s="1">
        <v>45505</v>
      </c>
      <c r="C188" s="11">
        <v>72</v>
      </c>
      <c r="D188">
        <v>14</v>
      </c>
      <c r="E188" s="28">
        <v>437.47</v>
      </c>
      <c r="F188">
        <v>4</v>
      </c>
      <c r="G188" s="2">
        <v>0.2857142857142857</v>
      </c>
      <c r="H188">
        <v>958.02</v>
      </c>
      <c r="I188" s="2">
        <v>3.9100000000000003E-2</v>
      </c>
    </row>
    <row r="189" spans="1:9">
      <c r="A189" t="s">
        <v>14</v>
      </c>
      <c r="B189" s="1">
        <v>45505</v>
      </c>
      <c r="C189" s="11">
        <v>64</v>
      </c>
      <c r="D189">
        <v>7</v>
      </c>
      <c r="E189" s="28">
        <v>554.20000000000005</v>
      </c>
      <c r="F189">
        <v>2</v>
      </c>
      <c r="G189" s="2">
        <v>0.2857142857142857</v>
      </c>
      <c r="H189">
        <v>3620.9</v>
      </c>
      <c r="I189" s="2">
        <v>1.23E-2</v>
      </c>
    </row>
    <row r="190" spans="1:9">
      <c r="A190" t="s">
        <v>15</v>
      </c>
      <c r="B190" s="1">
        <v>45505</v>
      </c>
      <c r="C190" s="11">
        <v>76</v>
      </c>
      <c r="D190">
        <v>21</v>
      </c>
      <c r="E190" s="28">
        <v>293.93</v>
      </c>
      <c r="F190">
        <v>2</v>
      </c>
      <c r="G190" s="2">
        <v>9.5238095238095233E-2</v>
      </c>
      <c r="H190">
        <v>2531.4</v>
      </c>
      <c r="I190" s="2">
        <v>0.1012</v>
      </c>
    </row>
    <row r="191" spans="1:9">
      <c r="A191" t="s">
        <v>16</v>
      </c>
      <c r="B191" s="1">
        <v>45505</v>
      </c>
      <c r="C191" s="11">
        <v>64</v>
      </c>
      <c r="D191">
        <v>9</v>
      </c>
      <c r="E191" s="28">
        <v>255.17</v>
      </c>
      <c r="F191">
        <v>6</v>
      </c>
      <c r="G191" s="2">
        <v>0.66666666666666663</v>
      </c>
      <c r="H191">
        <v>4136.6899999999996</v>
      </c>
      <c r="I191" s="2">
        <v>3.8199999999999998E-2</v>
      </c>
    </row>
    <row r="192" spans="1:9">
      <c r="A192" t="s">
        <v>17</v>
      </c>
      <c r="B192" s="1">
        <v>45505</v>
      </c>
      <c r="C192" s="11">
        <v>26</v>
      </c>
      <c r="D192">
        <v>17</v>
      </c>
      <c r="E192" s="28">
        <v>391.73</v>
      </c>
      <c r="F192">
        <v>7</v>
      </c>
      <c r="G192" s="2">
        <v>0.41176470588235292</v>
      </c>
      <c r="H192">
        <v>1166.55</v>
      </c>
      <c r="I192" s="2">
        <v>6.1200000000000004E-2</v>
      </c>
    </row>
    <row r="193" spans="1:9">
      <c r="A193" t="s">
        <v>18</v>
      </c>
      <c r="B193" s="1">
        <v>45505</v>
      </c>
      <c r="C193" s="11">
        <v>65</v>
      </c>
      <c r="D193">
        <v>13</v>
      </c>
      <c r="E193" s="28">
        <v>324.26</v>
      </c>
      <c r="F193">
        <v>7</v>
      </c>
      <c r="G193" s="2">
        <v>0.53846153846153844</v>
      </c>
      <c r="H193">
        <v>1044.8599999999999</v>
      </c>
      <c r="I193" s="2">
        <v>3.5200000000000002E-2</v>
      </c>
    </row>
    <row r="194" spans="1:9">
      <c r="A194" t="s">
        <v>19</v>
      </c>
      <c r="B194" s="1">
        <v>45505</v>
      </c>
      <c r="C194" s="11">
        <v>22</v>
      </c>
      <c r="D194">
        <v>9</v>
      </c>
      <c r="E194" s="28">
        <v>211.28</v>
      </c>
      <c r="F194">
        <v>8</v>
      </c>
      <c r="G194" s="2">
        <v>0.88888888888888884</v>
      </c>
      <c r="H194">
        <v>772.77</v>
      </c>
      <c r="I194" s="2">
        <v>8.0600000000000005E-2</v>
      </c>
    </row>
    <row r="195" spans="1:9">
      <c r="A195" t="s">
        <v>20</v>
      </c>
      <c r="B195" s="1">
        <v>45505</v>
      </c>
      <c r="C195" s="11">
        <v>30</v>
      </c>
      <c r="D195">
        <v>6</v>
      </c>
      <c r="E195" s="28">
        <v>549.26</v>
      </c>
      <c r="F195">
        <v>2</v>
      </c>
      <c r="G195" s="2">
        <v>0.33333333333333331</v>
      </c>
      <c r="H195">
        <v>3868.36</v>
      </c>
      <c r="I195" s="2">
        <v>4.2800000000000005E-2</v>
      </c>
    </row>
    <row r="196" spans="1:9">
      <c r="A196" t="s">
        <v>21</v>
      </c>
      <c r="B196" s="1">
        <v>45505</v>
      </c>
      <c r="C196" s="11">
        <v>83</v>
      </c>
      <c r="D196">
        <v>15</v>
      </c>
      <c r="E196" s="28">
        <v>601.05999999999995</v>
      </c>
      <c r="F196">
        <v>3</v>
      </c>
      <c r="G196" s="2">
        <v>0.2</v>
      </c>
      <c r="H196">
        <v>350.62</v>
      </c>
      <c r="I196" s="2">
        <v>3.6600000000000001E-2</v>
      </c>
    </row>
    <row r="197" spans="1:9">
      <c r="A197" t="s">
        <v>22</v>
      </c>
      <c r="B197" s="1">
        <v>45505</v>
      </c>
      <c r="C197" s="11">
        <v>35</v>
      </c>
      <c r="D197">
        <v>6</v>
      </c>
      <c r="E197" s="28">
        <v>192.19</v>
      </c>
      <c r="F197">
        <v>1</v>
      </c>
      <c r="G197" s="2">
        <v>0.16666666666666666</v>
      </c>
      <c r="H197">
        <v>3963.32</v>
      </c>
      <c r="I197" s="2">
        <v>3.9800000000000002E-2</v>
      </c>
    </row>
    <row r="198" spans="1:9">
      <c r="A198" t="s">
        <v>23</v>
      </c>
      <c r="B198" s="1">
        <v>45505</v>
      </c>
      <c r="C198" s="11">
        <v>73</v>
      </c>
      <c r="D198">
        <v>8</v>
      </c>
      <c r="E198" s="28">
        <v>191.76</v>
      </c>
      <c r="F198">
        <v>3</v>
      </c>
      <c r="G198" s="2">
        <v>0.375</v>
      </c>
      <c r="H198">
        <v>675.97</v>
      </c>
      <c r="I198" s="2">
        <v>3.0200000000000001E-2</v>
      </c>
    </row>
    <row r="199" spans="1:9">
      <c r="A199" t="s">
        <v>24</v>
      </c>
      <c r="B199" s="1">
        <v>45505</v>
      </c>
      <c r="C199" s="11">
        <v>104</v>
      </c>
      <c r="D199">
        <v>4</v>
      </c>
      <c r="E199" s="28">
        <v>169.75</v>
      </c>
      <c r="F199">
        <v>3</v>
      </c>
      <c r="G199" s="2">
        <v>0.75</v>
      </c>
      <c r="H199">
        <v>1255.83</v>
      </c>
      <c r="I199" s="2">
        <v>7.7600000000000002E-2</v>
      </c>
    </row>
    <row r="200" spans="1:9">
      <c r="A200" t="s">
        <v>25</v>
      </c>
      <c r="B200" s="1">
        <v>45505</v>
      </c>
      <c r="C200" s="11">
        <v>71</v>
      </c>
      <c r="D200">
        <v>6</v>
      </c>
      <c r="E200" s="28">
        <v>87.5</v>
      </c>
      <c r="F200">
        <v>3</v>
      </c>
      <c r="G200" s="2">
        <v>0.5</v>
      </c>
      <c r="H200">
        <v>3666.64</v>
      </c>
      <c r="I200" s="2">
        <v>9.1300000000000006E-2</v>
      </c>
    </row>
    <row r="201" spans="1:9">
      <c r="A201" t="s">
        <v>26</v>
      </c>
      <c r="B201" s="1">
        <v>45505</v>
      </c>
      <c r="C201" s="11">
        <v>22</v>
      </c>
      <c r="D201">
        <v>14</v>
      </c>
      <c r="E201" s="28">
        <v>477.3</v>
      </c>
      <c r="F201">
        <v>6</v>
      </c>
      <c r="G201" s="2">
        <v>0.42857142857142855</v>
      </c>
      <c r="H201">
        <v>3790.05</v>
      </c>
      <c r="I201" s="2">
        <v>3.32E-2</v>
      </c>
    </row>
    <row r="202" spans="1:9">
      <c r="A202" t="s">
        <v>27</v>
      </c>
      <c r="B202" s="1">
        <v>45505</v>
      </c>
      <c r="C202" s="11">
        <v>85</v>
      </c>
      <c r="D202">
        <v>17</v>
      </c>
      <c r="E202" s="28">
        <v>187.72</v>
      </c>
      <c r="F202">
        <v>5</v>
      </c>
      <c r="G202" s="2">
        <v>0.29411764705882354</v>
      </c>
      <c r="H202">
        <v>443.22</v>
      </c>
      <c r="I202" s="2">
        <v>0.1016</v>
      </c>
    </row>
    <row r="203" spans="1:9">
      <c r="A203" t="s">
        <v>28</v>
      </c>
      <c r="B203" s="1">
        <v>45505</v>
      </c>
      <c r="C203" s="11">
        <v>80</v>
      </c>
      <c r="D203">
        <v>13</v>
      </c>
      <c r="E203" s="28">
        <v>504.59</v>
      </c>
      <c r="F203">
        <v>0</v>
      </c>
      <c r="G203" s="2">
        <v>0</v>
      </c>
      <c r="H203">
        <v>1265.47</v>
      </c>
      <c r="I203" s="2">
        <v>1E-3</v>
      </c>
    </row>
    <row r="204" spans="1:9">
      <c r="A204" t="s">
        <v>29</v>
      </c>
      <c r="B204" s="1">
        <v>45505</v>
      </c>
      <c r="C204" s="11">
        <v>18</v>
      </c>
      <c r="D204">
        <v>12</v>
      </c>
      <c r="E204" s="28">
        <v>262.26</v>
      </c>
      <c r="F204">
        <v>1</v>
      </c>
      <c r="G204" s="2">
        <v>8.3333333333333329E-2</v>
      </c>
      <c r="H204">
        <v>1573.7</v>
      </c>
      <c r="I204" s="2">
        <v>5.1299999999999998E-2</v>
      </c>
    </row>
    <row r="205" spans="1:9">
      <c r="A205" t="s">
        <v>30</v>
      </c>
      <c r="B205" s="1">
        <v>45505</v>
      </c>
      <c r="C205" s="11">
        <v>106</v>
      </c>
      <c r="D205">
        <v>6</v>
      </c>
      <c r="E205" s="28">
        <v>572.16</v>
      </c>
      <c r="F205">
        <v>2</v>
      </c>
      <c r="G205" s="2">
        <v>0.33333333333333331</v>
      </c>
      <c r="H205">
        <v>3398.37</v>
      </c>
      <c r="I205" s="2">
        <v>2.87E-2</v>
      </c>
    </row>
    <row r="206" spans="1:9">
      <c r="A206" t="s">
        <v>31</v>
      </c>
      <c r="B206" s="1">
        <v>45505</v>
      </c>
      <c r="C206" s="11">
        <v>71</v>
      </c>
      <c r="D206">
        <v>9</v>
      </c>
      <c r="E206" s="28">
        <v>172.96</v>
      </c>
      <c r="F206">
        <v>6</v>
      </c>
      <c r="G206" s="2">
        <v>0.66666666666666663</v>
      </c>
      <c r="H206">
        <v>464.49</v>
      </c>
      <c r="I206" s="2">
        <v>8.2699999999999996E-2</v>
      </c>
    </row>
    <row r="207" spans="1:9">
      <c r="A207" t="s">
        <v>32</v>
      </c>
      <c r="B207" s="1">
        <v>45505</v>
      </c>
      <c r="C207" s="11">
        <v>115</v>
      </c>
      <c r="D207">
        <v>17</v>
      </c>
      <c r="E207" s="28">
        <v>422.48</v>
      </c>
      <c r="F207">
        <v>0</v>
      </c>
      <c r="G207" s="2">
        <v>0</v>
      </c>
      <c r="H207">
        <v>2681.51</v>
      </c>
      <c r="I207" s="2">
        <v>2.5000000000000001E-2</v>
      </c>
    </row>
    <row r="208" spans="1:9">
      <c r="A208" t="s">
        <v>33</v>
      </c>
      <c r="B208" s="1">
        <v>45505</v>
      </c>
      <c r="C208" s="11">
        <v>34</v>
      </c>
      <c r="D208">
        <v>10</v>
      </c>
      <c r="E208" s="28">
        <v>565.11</v>
      </c>
      <c r="F208">
        <v>5</v>
      </c>
      <c r="G208" s="2">
        <v>0.5</v>
      </c>
      <c r="H208">
        <v>222.62</v>
      </c>
      <c r="I208" s="2">
        <v>7.1800000000000003E-2</v>
      </c>
    </row>
    <row r="209" spans="1:9">
      <c r="A209" t="s">
        <v>34</v>
      </c>
      <c r="B209" s="1">
        <v>45505</v>
      </c>
      <c r="C209" s="11">
        <v>40</v>
      </c>
      <c r="D209">
        <v>17</v>
      </c>
      <c r="E209" s="28">
        <v>355.83</v>
      </c>
      <c r="F209">
        <v>6</v>
      </c>
      <c r="G209" s="2">
        <v>0.35294117647058826</v>
      </c>
      <c r="H209">
        <v>4155.8599999999997</v>
      </c>
      <c r="I209" s="2">
        <v>8.8000000000000009E-2</v>
      </c>
    </row>
    <row r="210" spans="1:9">
      <c r="A210" t="s">
        <v>9</v>
      </c>
      <c r="B210" s="1">
        <v>45536</v>
      </c>
      <c r="C210" s="11">
        <v>51</v>
      </c>
      <c r="D210">
        <v>15</v>
      </c>
      <c r="E210" s="28">
        <v>349.71</v>
      </c>
      <c r="F210">
        <v>8</v>
      </c>
      <c r="G210" s="2">
        <v>0.53333333333333333</v>
      </c>
      <c r="H210">
        <v>4017.54</v>
      </c>
      <c r="I210" s="2">
        <v>2.92E-2</v>
      </c>
    </row>
    <row r="211" spans="1:9">
      <c r="A211" t="s">
        <v>10</v>
      </c>
      <c r="B211" s="1">
        <v>45536</v>
      </c>
      <c r="C211" s="11">
        <v>79</v>
      </c>
      <c r="D211">
        <v>9</v>
      </c>
      <c r="E211" s="28">
        <v>358.67</v>
      </c>
      <c r="F211">
        <v>5</v>
      </c>
      <c r="G211" s="2">
        <v>0.55555555555555558</v>
      </c>
      <c r="H211">
        <v>3658.64</v>
      </c>
      <c r="I211" s="2">
        <v>3.7499999999999999E-2</v>
      </c>
    </row>
    <row r="212" spans="1:9">
      <c r="A212" t="s">
        <v>11</v>
      </c>
      <c r="B212" s="1">
        <v>45536</v>
      </c>
      <c r="C212" s="11">
        <v>57</v>
      </c>
      <c r="D212">
        <v>18</v>
      </c>
      <c r="E212" s="28">
        <v>403.41</v>
      </c>
      <c r="F212">
        <v>3</v>
      </c>
      <c r="G212" s="2">
        <v>0.16666666666666666</v>
      </c>
      <c r="H212">
        <v>3767.63</v>
      </c>
      <c r="I212" s="2">
        <v>4.24E-2</v>
      </c>
    </row>
    <row r="213" spans="1:9">
      <c r="A213" t="s">
        <v>12</v>
      </c>
      <c r="B213" s="1">
        <v>45536</v>
      </c>
      <c r="C213" s="11">
        <v>24</v>
      </c>
      <c r="D213">
        <v>7</v>
      </c>
      <c r="E213" s="28">
        <v>79.62</v>
      </c>
      <c r="F213">
        <v>4</v>
      </c>
      <c r="G213" s="2">
        <v>0.5714285714285714</v>
      </c>
      <c r="H213">
        <v>1650.69</v>
      </c>
      <c r="I213" s="2">
        <v>3.0600000000000002E-2</v>
      </c>
    </row>
    <row r="214" spans="1:9">
      <c r="A214" t="s">
        <v>13</v>
      </c>
      <c r="B214" s="1">
        <v>45536</v>
      </c>
      <c r="C214" s="11">
        <v>77</v>
      </c>
      <c r="D214">
        <v>11</v>
      </c>
      <c r="E214" s="28">
        <v>487.47</v>
      </c>
      <c r="F214">
        <v>4</v>
      </c>
      <c r="G214" s="2">
        <v>0.36363636363636365</v>
      </c>
      <c r="H214">
        <v>990.89</v>
      </c>
      <c r="I214" s="2">
        <v>4.3299999999999998E-2</v>
      </c>
    </row>
    <row r="215" spans="1:9">
      <c r="A215" t="s">
        <v>14</v>
      </c>
      <c r="B215" s="1">
        <v>45536</v>
      </c>
      <c r="C215" s="11">
        <v>69</v>
      </c>
      <c r="D215">
        <v>7</v>
      </c>
      <c r="E215" s="28">
        <v>549.77</v>
      </c>
      <c r="F215">
        <v>2</v>
      </c>
      <c r="G215" s="2">
        <v>0.2857142857142857</v>
      </c>
      <c r="H215">
        <v>3916.58</v>
      </c>
      <c r="I215" s="2">
        <v>1.2E-2</v>
      </c>
    </row>
    <row r="216" spans="1:9">
      <c r="A216" t="s">
        <v>15</v>
      </c>
      <c r="B216" s="1">
        <v>45536</v>
      </c>
      <c r="C216" s="11">
        <v>74</v>
      </c>
      <c r="D216">
        <v>18</v>
      </c>
      <c r="E216" s="28">
        <v>306.89999999999998</v>
      </c>
      <c r="F216">
        <v>3</v>
      </c>
      <c r="G216" s="2">
        <v>0.16666666666666666</v>
      </c>
      <c r="H216">
        <v>2254.16</v>
      </c>
      <c r="I216" s="2">
        <v>9.64E-2</v>
      </c>
    </row>
    <row r="217" spans="1:9">
      <c r="A217" t="s">
        <v>16</v>
      </c>
      <c r="B217" s="1">
        <v>45536</v>
      </c>
      <c r="C217" s="11">
        <v>57</v>
      </c>
      <c r="D217">
        <v>7</v>
      </c>
      <c r="E217" s="28">
        <v>262.27999999999997</v>
      </c>
      <c r="F217">
        <v>7</v>
      </c>
      <c r="G217" s="2">
        <v>1</v>
      </c>
      <c r="H217">
        <v>3929.11</v>
      </c>
      <c r="I217" s="2">
        <v>4.4299999999999999E-2</v>
      </c>
    </row>
    <row r="218" spans="1:9">
      <c r="A218" t="s">
        <v>17</v>
      </c>
      <c r="B218" s="1">
        <v>45536</v>
      </c>
      <c r="C218" s="11">
        <v>26</v>
      </c>
      <c r="D218">
        <v>21</v>
      </c>
      <c r="E218" s="28">
        <v>359.51</v>
      </c>
      <c r="F218">
        <v>9</v>
      </c>
      <c r="G218" s="2">
        <v>0.42857142857142855</v>
      </c>
      <c r="H218">
        <v>1187.3699999999999</v>
      </c>
      <c r="I218" s="2">
        <v>5.33E-2</v>
      </c>
    </row>
    <row r="219" spans="1:9">
      <c r="A219" t="s">
        <v>18</v>
      </c>
      <c r="B219" s="1">
        <v>45536</v>
      </c>
      <c r="C219" s="11">
        <v>76</v>
      </c>
      <c r="D219">
        <v>18</v>
      </c>
      <c r="E219" s="28">
        <v>339.1</v>
      </c>
      <c r="F219">
        <v>8</v>
      </c>
      <c r="G219" s="2">
        <v>0.44444444444444442</v>
      </c>
      <c r="H219">
        <v>924.79</v>
      </c>
      <c r="I219" s="2">
        <v>3.6000000000000004E-2</v>
      </c>
    </row>
    <row r="220" spans="1:9">
      <c r="A220" t="s">
        <v>19</v>
      </c>
      <c r="B220" s="1">
        <v>45536</v>
      </c>
      <c r="C220" s="11">
        <v>22</v>
      </c>
      <c r="D220">
        <v>7</v>
      </c>
      <c r="E220" s="28">
        <v>182.47</v>
      </c>
      <c r="F220">
        <v>7</v>
      </c>
      <c r="G220" s="2">
        <v>1</v>
      </c>
      <c r="H220">
        <v>779.86</v>
      </c>
      <c r="I220" s="2">
        <v>7.2700000000000001E-2</v>
      </c>
    </row>
    <row r="221" spans="1:9">
      <c r="A221" t="s">
        <v>20</v>
      </c>
      <c r="B221" s="1">
        <v>45536</v>
      </c>
      <c r="C221" s="11">
        <v>38</v>
      </c>
      <c r="D221">
        <v>6</v>
      </c>
      <c r="E221" s="28">
        <v>553.89</v>
      </c>
      <c r="F221">
        <v>6</v>
      </c>
      <c r="G221" s="2">
        <v>1</v>
      </c>
      <c r="H221">
        <v>4013.79</v>
      </c>
      <c r="I221" s="2">
        <v>4.3200000000000002E-2</v>
      </c>
    </row>
    <row r="222" spans="1:9">
      <c r="A222" t="s">
        <v>21</v>
      </c>
      <c r="B222" s="1">
        <v>45536</v>
      </c>
      <c r="C222" s="11">
        <v>87</v>
      </c>
      <c r="D222">
        <v>21</v>
      </c>
      <c r="E222" s="28">
        <v>633.13</v>
      </c>
      <c r="F222">
        <v>2</v>
      </c>
      <c r="G222" s="2">
        <v>9.5238095238095233E-2</v>
      </c>
      <c r="H222">
        <v>336.22</v>
      </c>
      <c r="I222" s="2">
        <v>3.4500000000000003E-2</v>
      </c>
    </row>
    <row r="223" spans="1:9">
      <c r="A223" t="s">
        <v>22</v>
      </c>
      <c r="B223" s="1">
        <v>45536</v>
      </c>
      <c r="C223" s="11">
        <v>37</v>
      </c>
      <c r="D223">
        <v>8</v>
      </c>
      <c r="E223" s="28">
        <v>215.09</v>
      </c>
      <c r="F223">
        <v>2</v>
      </c>
      <c r="G223" s="2">
        <v>0.25</v>
      </c>
      <c r="H223">
        <v>3424.83</v>
      </c>
      <c r="I223" s="2">
        <v>4.07E-2</v>
      </c>
    </row>
    <row r="224" spans="1:9">
      <c r="A224" t="s">
        <v>23</v>
      </c>
      <c r="B224" s="1">
        <v>45536</v>
      </c>
      <c r="C224" s="11">
        <v>71</v>
      </c>
      <c r="D224">
        <v>8</v>
      </c>
      <c r="E224" s="28">
        <v>199.19</v>
      </c>
      <c r="F224">
        <v>2</v>
      </c>
      <c r="G224" s="2">
        <v>0.25</v>
      </c>
      <c r="H224">
        <v>635.24</v>
      </c>
      <c r="I224" s="2">
        <v>2.9500000000000002E-2</v>
      </c>
    </row>
    <row r="225" spans="1:9">
      <c r="A225" t="s">
        <v>24</v>
      </c>
      <c r="B225" s="1">
        <v>45536</v>
      </c>
      <c r="C225" s="11">
        <v>81</v>
      </c>
      <c r="D225">
        <v>5</v>
      </c>
      <c r="E225" s="28">
        <v>153.5</v>
      </c>
      <c r="F225">
        <v>2</v>
      </c>
      <c r="G225" s="2">
        <v>0.4</v>
      </c>
      <c r="H225">
        <v>1307.47</v>
      </c>
      <c r="I225" s="2">
        <v>7.3300000000000004E-2</v>
      </c>
    </row>
    <row r="226" spans="1:9">
      <c r="A226" t="s">
        <v>25</v>
      </c>
      <c r="B226" s="1">
        <v>45536</v>
      </c>
      <c r="C226" s="11">
        <v>93</v>
      </c>
      <c r="D226">
        <v>5</v>
      </c>
      <c r="E226" s="28">
        <v>77.12</v>
      </c>
      <c r="F226">
        <v>2</v>
      </c>
      <c r="G226" s="2">
        <v>0.4</v>
      </c>
      <c r="H226">
        <v>3483.91</v>
      </c>
      <c r="I226" s="2">
        <v>9.9000000000000005E-2</v>
      </c>
    </row>
    <row r="227" spans="1:9">
      <c r="A227" t="s">
        <v>26</v>
      </c>
      <c r="B227" s="1">
        <v>45536</v>
      </c>
      <c r="C227" s="11">
        <v>21</v>
      </c>
      <c r="D227">
        <v>17</v>
      </c>
      <c r="E227" s="28">
        <v>533.41999999999996</v>
      </c>
      <c r="F227">
        <v>7</v>
      </c>
      <c r="G227" s="2">
        <v>0.41176470588235292</v>
      </c>
      <c r="H227">
        <v>3895.32</v>
      </c>
      <c r="I227" s="2">
        <v>3.4000000000000002E-2</v>
      </c>
    </row>
    <row r="228" spans="1:9">
      <c r="A228" t="s">
        <v>27</v>
      </c>
      <c r="B228" s="1">
        <v>45536</v>
      </c>
      <c r="C228" s="11">
        <v>86</v>
      </c>
      <c r="D228">
        <v>17</v>
      </c>
      <c r="E228" s="28">
        <v>160.88999999999999</v>
      </c>
      <c r="F228">
        <v>4</v>
      </c>
      <c r="G228" s="2">
        <v>0.23529411764705882</v>
      </c>
      <c r="H228">
        <v>418.33</v>
      </c>
      <c r="I228" s="2">
        <v>8.8100000000000012E-2</v>
      </c>
    </row>
    <row r="229" spans="1:9">
      <c r="A229" t="s">
        <v>28</v>
      </c>
      <c r="B229" s="1">
        <v>45536</v>
      </c>
      <c r="C229" s="11">
        <v>72</v>
      </c>
      <c r="D229">
        <v>11</v>
      </c>
      <c r="E229" s="28">
        <v>459.86</v>
      </c>
      <c r="F229">
        <v>0</v>
      </c>
      <c r="G229" s="2">
        <v>0</v>
      </c>
      <c r="H229">
        <v>1269.5999999999999</v>
      </c>
      <c r="I229" s="2">
        <v>1E-3</v>
      </c>
    </row>
    <row r="230" spans="1:9">
      <c r="A230" t="s">
        <v>29</v>
      </c>
      <c r="B230" s="1">
        <v>45536</v>
      </c>
      <c r="C230" s="11">
        <v>18</v>
      </c>
      <c r="D230">
        <v>13</v>
      </c>
      <c r="E230" s="28">
        <v>290.14</v>
      </c>
      <c r="F230">
        <v>2</v>
      </c>
      <c r="G230" s="2">
        <v>0.15384615384615385</v>
      </c>
      <c r="H230">
        <v>1444.65</v>
      </c>
      <c r="I230" s="2">
        <v>5.4699999999999999E-2</v>
      </c>
    </row>
    <row r="231" spans="1:9">
      <c r="A231" t="s">
        <v>30</v>
      </c>
      <c r="B231" s="1">
        <v>45536</v>
      </c>
      <c r="C231" s="11">
        <v>105</v>
      </c>
      <c r="D231">
        <v>7</v>
      </c>
      <c r="E231" s="28">
        <v>587.83000000000004</v>
      </c>
      <c r="F231">
        <v>1</v>
      </c>
      <c r="G231" s="2">
        <v>0.14285714285714285</v>
      </c>
      <c r="H231">
        <v>3601.93</v>
      </c>
      <c r="I231" s="2">
        <v>3.2199999999999999E-2</v>
      </c>
    </row>
    <row r="232" spans="1:9">
      <c r="A232" t="s">
        <v>31</v>
      </c>
      <c r="B232" s="1">
        <v>45536</v>
      </c>
      <c r="C232" s="11">
        <v>75</v>
      </c>
      <c r="D232">
        <v>8</v>
      </c>
      <c r="E232" s="28">
        <v>177.88</v>
      </c>
      <c r="F232">
        <v>7</v>
      </c>
      <c r="G232" s="2">
        <v>0.875</v>
      </c>
      <c r="H232">
        <v>507.1</v>
      </c>
      <c r="I232" s="2">
        <v>9.5199999999999993E-2</v>
      </c>
    </row>
    <row r="233" spans="1:9">
      <c r="A233" t="s">
        <v>32</v>
      </c>
      <c r="B233" s="1">
        <v>45536</v>
      </c>
      <c r="C233" s="11">
        <v>98</v>
      </c>
      <c r="D233">
        <v>12</v>
      </c>
      <c r="E233" s="28">
        <v>406.95</v>
      </c>
      <c r="F233">
        <v>0</v>
      </c>
      <c r="G233" s="2">
        <v>0</v>
      </c>
      <c r="H233">
        <v>2978.09</v>
      </c>
      <c r="I233" s="2">
        <v>2.3700000000000002E-2</v>
      </c>
    </row>
    <row r="234" spans="1:9">
      <c r="A234" t="s">
        <v>33</v>
      </c>
      <c r="B234" s="1">
        <v>45536</v>
      </c>
      <c r="C234" s="11">
        <v>33</v>
      </c>
      <c r="D234">
        <v>13</v>
      </c>
      <c r="E234" s="28">
        <v>517.1</v>
      </c>
      <c r="F234">
        <v>4</v>
      </c>
      <c r="G234" s="2">
        <v>0.30769230769230771</v>
      </c>
      <c r="H234">
        <v>250.08</v>
      </c>
      <c r="I234" s="2">
        <v>6.5299999999999997E-2</v>
      </c>
    </row>
    <row r="235" spans="1:9">
      <c r="A235" t="s">
        <v>34</v>
      </c>
      <c r="B235" s="1">
        <v>45536</v>
      </c>
      <c r="C235" s="11">
        <v>35</v>
      </c>
      <c r="D235">
        <v>18</v>
      </c>
      <c r="E235" s="28">
        <v>348.92</v>
      </c>
      <c r="F235">
        <v>7</v>
      </c>
      <c r="G235" s="2">
        <v>0.3888888888888889</v>
      </c>
      <c r="H235">
        <v>4381.3900000000003</v>
      </c>
      <c r="I235" s="2">
        <v>8.8599999999999998E-2</v>
      </c>
    </row>
    <row r="236" spans="1:9">
      <c r="A236" t="s">
        <v>9</v>
      </c>
      <c r="B236" s="1">
        <v>45566</v>
      </c>
      <c r="C236" s="11">
        <v>74</v>
      </c>
      <c r="D236">
        <v>16</v>
      </c>
      <c r="E236" s="28">
        <v>308.51</v>
      </c>
      <c r="F236">
        <v>7</v>
      </c>
      <c r="G236" s="2">
        <v>0.4375</v>
      </c>
      <c r="H236">
        <v>4267.5</v>
      </c>
      <c r="I236" s="2">
        <v>2.9399999999999999E-2</v>
      </c>
    </row>
    <row r="237" spans="1:9">
      <c r="A237" t="s">
        <v>10</v>
      </c>
      <c r="B237" s="1">
        <v>45566</v>
      </c>
      <c r="C237" s="11">
        <v>72</v>
      </c>
      <c r="D237">
        <v>10</v>
      </c>
      <c r="E237" s="28">
        <v>362.58</v>
      </c>
      <c r="F237">
        <v>5</v>
      </c>
      <c r="G237" s="2">
        <v>0.5</v>
      </c>
      <c r="H237">
        <v>3679.65</v>
      </c>
      <c r="I237" s="2">
        <v>3.8599999999999995E-2</v>
      </c>
    </row>
    <row r="238" spans="1:9">
      <c r="A238" t="s">
        <v>11</v>
      </c>
      <c r="B238" s="1">
        <v>45566</v>
      </c>
      <c r="C238" s="11">
        <v>58</v>
      </c>
      <c r="D238">
        <v>13</v>
      </c>
      <c r="E238" s="28">
        <v>368.06</v>
      </c>
      <c r="F238">
        <v>2</v>
      </c>
      <c r="G238" s="2">
        <v>0.15384615384615385</v>
      </c>
      <c r="H238">
        <v>3626.22</v>
      </c>
      <c r="I238" s="2">
        <v>4.1399999999999999E-2</v>
      </c>
    </row>
    <row r="239" spans="1:9">
      <c r="A239" t="s">
        <v>12</v>
      </c>
      <c r="B239" s="1">
        <v>45566</v>
      </c>
      <c r="C239" s="11">
        <v>22</v>
      </c>
      <c r="D239">
        <v>7</v>
      </c>
      <c r="E239" s="28">
        <v>74.680000000000007</v>
      </c>
      <c r="F239">
        <v>4</v>
      </c>
      <c r="G239" s="2">
        <v>0.5714285714285714</v>
      </c>
      <c r="H239">
        <v>1543.72</v>
      </c>
      <c r="I239" s="2">
        <v>2.75E-2</v>
      </c>
    </row>
    <row r="240" spans="1:9">
      <c r="A240" t="s">
        <v>13</v>
      </c>
      <c r="B240" s="1">
        <v>45566</v>
      </c>
      <c r="C240" s="11">
        <v>74</v>
      </c>
      <c r="D240">
        <v>15</v>
      </c>
      <c r="E240" s="28">
        <v>460.2</v>
      </c>
      <c r="F240">
        <v>4</v>
      </c>
      <c r="G240" s="2">
        <v>0.26666666666666666</v>
      </c>
      <c r="H240">
        <v>980.1</v>
      </c>
      <c r="I240" s="2">
        <v>3.7900000000000003E-2</v>
      </c>
    </row>
    <row r="241" spans="1:9">
      <c r="A241" t="s">
        <v>14</v>
      </c>
      <c r="B241" s="1">
        <v>45566</v>
      </c>
      <c r="C241" s="11">
        <v>62</v>
      </c>
      <c r="D241">
        <v>8</v>
      </c>
      <c r="E241" s="28">
        <v>540.79999999999995</v>
      </c>
      <c r="F241">
        <v>3</v>
      </c>
      <c r="G241" s="2">
        <v>0.375</v>
      </c>
      <c r="H241">
        <v>3928.71</v>
      </c>
      <c r="I241" s="2">
        <v>1.09E-2</v>
      </c>
    </row>
    <row r="242" spans="1:9">
      <c r="A242" t="s">
        <v>15</v>
      </c>
      <c r="B242" s="1">
        <v>45566</v>
      </c>
      <c r="C242" s="11">
        <v>70</v>
      </c>
      <c r="D242">
        <v>21</v>
      </c>
      <c r="E242" s="28">
        <v>319.62</v>
      </c>
      <c r="F242">
        <v>3</v>
      </c>
      <c r="G242" s="2">
        <v>0.14285714285714285</v>
      </c>
      <c r="H242">
        <v>2486.2199999999998</v>
      </c>
      <c r="I242" s="2">
        <v>0.1036</v>
      </c>
    </row>
    <row r="243" spans="1:9">
      <c r="A243" t="s">
        <v>16</v>
      </c>
      <c r="B243" s="1">
        <v>45566</v>
      </c>
      <c r="C243" s="11">
        <v>51</v>
      </c>
      <c r="D243">
        <v>7</v>
      </c>
      <c r="E243" s="28">
        <v>248.37</v>
      </c>
      <c r="F243">
        <v>7</v>
      </c>
      <c r="G243" s="2">
        <v>1</v>
      </c>
      <c r="H243">
        <v>3946.23</v>
      </c>
      <c r="I243" s="2">
        <v>4.2699999999999995E-2</v>
      </c>
    </row>
    <row r="244" spans="1:9">
      <c r="A244" t="s">
        <v>17</v>
      </c>
      <c r="B244" s="1">
        <v>45566</v>
      </c>
      <c r="C244" s="11">
        <v>32</v>
      </c>
      <c r="D244">
        <v>16</v>
      </c>
      <c r="E244" s="28">
        <v>393.04</v>
      </c>
      <c r="F244">
        <v>7</v>
      </c>
      <c r="G244" s="2">
        <v>0.4375</v>
      </c>
      <c r="H244">
        <v>1286.18</v>
      </c>
      <c r="I244" s="2">
        <v>5.6399999999999999E-2</v>
      </c>
    </row>
    <row r="245" spans="1:9">
      <c r="A245" t="s">
        <v>18</v>
      </c>
      <c r="B245" s="1">
        <v>45566</v>
      </c>
      <c r="C245" s="11">
        <v>71</v>
      </c>
      <c r="D245">
        <v>16</v>
      </c>
      <c r="E245" s="28">
        <v>323.56</v>
      </c>
      <c r="F245">
        <v>9</v>
      </c>
      <c r="G245" s="2">
        <v>0.5625</v>
      </c>
      <c r="H245">
        <v>957.05</v>
      </c>
      <c r="I245" s="2">
        <v>3.1099999999999999E-2</v>
      </c>
    </row>
    <row r="246" spans="1:9">
      <c r="A246" t="s">
        <v>19</v>
      </c>
      <c r="B246" s="1">
        <v>45566</v>
      </c>
      <c r="C246" s="11">
        <v>17</v>
      </c>
      <c r="D246">
        <v>7</v>
      </c>
      <c r="E246" s="28">
        <v>205.3</v>
      </c>
      <c r="F246">
        <v>4</v>
      </c>
      <c r="G246" s="2">
        <v>0.5714285714285714</v>
      </c>
      <c r="H246">
        <v>762.2</v>
      </c>
      <c r="I246" s="2">
        <v>7.2300000000000003E-2</v>
      </c>
    </row>
    <row r="247" spans="1:9">
      <c r="A247" t="s">
        <v>20</v>
      </c>
      <c r="B247" s="1">
        <v>45566</v>
      </c>
      <c r="C247" s="11">
        <v>35</v>
      </c>
      <c r="D247">
        <v>6</v>
      </c>
      <c r="E247" s="28">
        <v>544.78</v>
      </c>
      <c r="F247">
        <v>5</v>
      </c>
      <c r="G247" s="2">
        <v>0.83333333333333337</v>
      </c>
      <c r="H247">
        <v>3420.99</v>
      </c>
      <c r="I247" s="2">
        <v>4.0500000000000001E-2</v>
      </c>
    </row>
    <row r="248" spans="1:9">
      <c r="A248" t="s">
        <v>21</v>
      </c>
      <c r="B248" s="1">
        <v>45566</v>
      </c>
      <c r="C248" s="11">
        <v>73</v>
      </c>
      <c r="D248">
        <v>17</v>
      </c>
      <c r="E248" s="28">
        <v>557.29999999999995</v>
      </c>
      <c r="F248">
        <v>3</v>
      </c>
      <c r="G248" s="2">
        <v>0.17647058823529413</v>
      </c>
      <c r="H248">
        <v>376.66</v>
      </c>
      <c r="I248" s="2">
        <v>3.4700000000000002E-2</v>
      </c>
    </row>
    <row r="249" spans="1:9">
      <c r="A249" t="s">
        <v>22</v>
      </c>
      <c r="B249" s="1">
        <v>45566</v>
      </c>
      <c r="C249" s="11">
        <v>27</v>
      </c>
      <c r="D249">
        <v>6</v>
      </c>
      <c r="E249" s="28">
        <v>202.37</v>
      </c>
      <c r="F249">
        <v>1</v>
      </c>
      <c r="G249" s="2">
        <v>0.16666666666666666</v>
      </c>
      <c r="H249">
        <v>3781.81</v>
      </c>
      <c r="I249" s="2">
        <v>4.3099999999999999E-2</v>
      </c>
    </row>
    <row r="250" spans="1:9">
      <c r="A250" t="s">
        <v>23</v>
      </c>
      <c r="B250" s="1">
        <v>45566</v>
      </c>
      <c r="C250" s="11">
        <v>49</v>
      </c>
      <c r="D250">
        <v>7</v>
      </c>
      <c r="E250" s="28">
        <v>204.14</v>
      </c>
      <c r="F250">
        <v>3</v>
      </c>
      <c r="G250" s="2">
        <v>0.42857142857142855</v>
      </c>
      <c r="H250">
        <v>636.65</v>
      </c>
      <c r="I250" s="2">
        <v>2.9500000000000002E-2</v>
      </c>
    </row>
    <row r="251" spans="1:9">
      <c r="A251" t="s">
        <v>24</v>
      </c>
      <c r="B251" s="1">
        <v>45566</v>
      </c>
      <c r="C251" s="11">
        <v>106</v>
      </c>
      <c r="D251">
        <v>5</v>
      </c>
      <c r="E251" s="28">
        <v>163.38</v>
      </c>
      <c r="F251">
        <v>1</v>
      </c>
      <c r="G251" s="2">
        <v>0.2</v>
      </c>
      <c r="H251">
        <v>1148.1400000000001</v>
      </c>
      <c r="I251" s="2">
        <v>7.8799999999999995E-2</v>
      </c>
    </row>
    <row r="252" spans="1:9">
      <c r="A252" t="s">
        <v>25</v>
      </c>
      <c r="B252" s="1">
        <v>45566</v>
      </c>
      <c r="C252" s="11">
        <v>102</v>
      </c>
      <c r="D252">
        <v>5</v>
      </c>
      <c r="E252" s="28">
        <v>86.37</v>
      </c>
      <c r="F252">
        <v>5</v>
      </c>
      <c r="G252" s="2">
        <v>1</v>
      </c>
      <c r="H252">
        <v>3851.19</v>
      </c>
      <c r="I252" s="2">
        <v>8.3800000000000013E-2</v>
      </c>
    </row>
    <row r="253" spans="1:9">
      <c r="A253" t="s">
        <v>26</v>
      </c>
      <c r="B253" s="1">
        <v>45566</v>
      </c>
      <c r="C253" s="11">
        <v>21</v>
      </c>
      <c r="D253">
        <v>14</v>
      </c>
      <c r="E253" s="28">
        <v>537.36</v>
      </c>
      <c r="F253">
        <v>7</v>
      </c>
      <c r="G253" s="2">
        <v>0.5</v>
      </c>
      <c r="H253">
        <v>3767.78</v>
      </c>
      <c r="I253" s="2">
        <v>3.44E-2</v>
      </c>
    </row>
    <row r="254" spans="1:9">
      <c r="A254" t="s">
        <v>27</v>
      </c>
      <c r="B254" s="1">
        <v>45566</v>
      </c>
      <c r="C254" s="11">
        <v>104</v>
      </c>
      <c r="D254">
        <v>20</v>
      </c>
      <c r="E254" s="28">
        <v>181.9</v>
      </c>
      <c r="F254">
        <v>4</v>
      </c>
      <c r="G254" s="2">
        <v>0.2</v>
      </c>
      <c r="H254">
        <v>400.92</v>
      </c>
      <c r="I254" s="2">
        <v>0.10009999999999999</v>
      </c>
    </row>
    <row r="255" spans="1:9">
      <c r="A255" t="s">
        <v>28</v>
      </c>
      <c r="B255" s="1">
        <v>45566</v>
      </c>
      <c r="C255" s="11">
        <v>64</v>
      </c>
      <c r="D255">
        <v>15</v>
      </c>
      <c r="E255" s="28">
        <v>514.38</v>
      </c>
      <c r="F255">
        <v>0</v>
      </c>
      <c r="G255" s="2">
        <v>0</v>
      </c>
      <c r="H255">
        <v>1220.5899999999999</v>
      </c>
      <c r="I255" s="2">
        <v>1E-3</v>
      </c>
    </row>
    <row r="256" spans="1:9">
      <c r="A256" t="s">
        <v>29</v>
      </c>
      <c r="B256" s="1">
        <v>45566</v>
      </c>
      <c r="C256" s="11">
        <v>21</v>
      </c>
      <c r="D256">
        <v>15</v>
      </c>
      <c r="E256" s="28">
        <v>309.75</v>
      </c>
      <c r="F256">
        <v>2</v>
      </c>
      <c r="G256" s="2">
        <v>0.13333333333333333</v>
      </c>
      <c r="H256">
        <v>1649.09</v>
      </c>
      <c r="I256" s="2">
        <v>5.0999999999999997E-2</v>
      </c>
    </row>
    <row r="257" spans="1:9">
      <c r="A257" t="s">
        <v>30</v>
      </c>
      <c r="B257" s="1">
        <v>45566</v>
      </c>
      <c r="C257" s="11">
        <v>108</v>
      </c>
      <c r="D257">
        <v>6</v>
      </c>
      <c r="E257" s="28">
        <v>515.27</v>
      </c>
      <c r="F257">
        <v>2</v>
      </c>
      <c r="G257" s="2">
        <v>0.33333333333333331</v>
      </c>
      <c r="H257">
        <v>3183.87</v>
      </c>
      <c r="I257" s="2">
        <v>3.04E-2</v>
      </c>
    </row>
    <row r="258" spans="1:9">
      <c r="A258" t="s">
        <v>31</v>
      </c>
      <c r="B258" s="1">
        <v>45566</v>
      </c>
      <c r="C258" s="11">
        <v>63</v>
      </c>
      <c r="D258">
        <v>10</v>
      </c>
      <c r="E258" s="28">
        <v>194.21</v>
      </c>
      <c r="F258">
        <v>7</v>
      </c>
      <c r="G258" s="2">
        <v>0.7</v>
      </c>
      <c r="H258">
        <v>508.84</v>
      </c>
      <c r="I258" s="2">
        <v>9.3900000000000011E-2</v>
      </c>
    </row>
    <row r="259" spans="1:9">
      <c r="A259" t="s">
        <v>32</v>
      </c>
      <c r="B259" s="1">
        <v>45566</v>
      </c>
      <c r="C259" s="11">
        <v>85</v>
      </c>
      <c r="D259">
        <v>15</v>
      </c>
      <c r="E259" s="28">
        <v>400.65</v>
      </c>
      <c r="F259">
        <v>0</v>
      </c>
      <c r="G259" s="2">
        <v>0</v>
      </c>
      <c r="H259">
        <v>2890.62</v>
      </c>
      <c r="I259" s="2">
        <v>2.4700000000000003E-2</v>
      </c>
    </row>
    <row r="260" spans="1:9">
      <c r="A260" t="s">
        <v>33</v>
      </c>
      <c r="B260" s="1">
        <v>45566</v>
      </c>
      <c r="C260" s="11">
        <v>36</v>
      </c>
      <c r="D260">
        <v>10</v>
      </c>
      <c r="E260" s="28">
        <v>535.44000000000005</v>
      </c>
      <c r="F260">
        <v>4</v>
      </c>
      <c r="G260" s="2">
        <v>0.4</v>
      </c>
      <c r="H260">
        <v>241.26</v>
      </c>
      <c r="I260" s="2">
        <v>6.3E-2</v>
      </c>
    </row>
    <row r="261" spans="1:9">
      <c r="A261" t="s">
        <v>34</v>
      </c>
      <c r="B261" s="1">
        <v>45566</v>
      </c>
      <c r="C261" s="11">
        <v>34</v>
      </c>
      <c r="D261">
        <v>12</v>
      </c>
      <c r="E261" s="28">
        <v>356.4</v>
      </c>
      <c r="F261">
        <v>8</v>
      </c>
      <c r="G261" s="2">
        <v>0.66666666666666663</v>
      </c>
      <c r="H261">
        <v>4111.76</v>
      </c>
      <c r="I261" s="2">
        <v>8.4700000000000011E-2</v>
      </c>
    </row>
    <row r="262" spans="1:9">
      <c r="A262" t="s">
        <v>9</v>
      </c>
      <c r="B262" s="1">
        <v>45597</v>
      </c>
      <c r="C262" s="11">
        <v>67</v>
      </c>
      <c r="D262">
        <v>12</v>
      </c>
      <c r="E262" s="28">
        <v>352.6</v>
      </c>
      <c r="F262">
        <v>6</v>
      </c>
      <c r="G262" s="2">
        <v>0.5</v>
      </c>
      <c r="H262">
        <v>4402.41</v>
      </c>
      <c r="I262" s="2">
        <v>2.8999999999999998E-2</v>
      </c>
    </row>
    <row r="263" spans="1:9">
      <c r="A263" t="s">
        <v>10</v>
      </c>
      <c r="B263" s="1">
        <v>45597</v>
      </c>
      <c r="C263" s="11">
        <v>76</v>
      </c>
      <c r="D263">
        <v>14</v>
      </c>
      <c r="E263" s="28">
        <v>351.42</v>
      </c>
      <c r="F263">
        <v>4</v>
      </c>
      <c r="G263" s="2">
        <v>0.2857142857142857</v>
      </c>
      <c r="H263">
        <v>3917.99</v>
      </c>
      <c r="I263" s="2">
        <v>4.2999999999999997E-2</v>
      </c>
    </row>
    <row r="264" spans="1:9">
      <c r="A264" t="s">
        <v>11</v>
      </c>
      <c r="B264" s="1">
        <v>45597</v>
      </c>
      <c r="C264" s="11">
        <v>53</v>
      </c>
      <c r="D264">
        <v>17</v>
      </c>
      <c r="E264" s="28">
        <v>404.22</v>
      </c>
      <c r="F264">
        <v>2</v>
      </c>
      <c r="G264" s="2">
        <v>0.11764705882352941</v>
      </c>
      <c r="H264">
        <v>3669.4</v>
      </c>
      <c r="I264" s="2">
        <v>4.4500000000000005E-2</v>
      </c>
    </row>
    <row r="265" spans="1:9">
      <c r="A265" t="s">
        <v>12</v>
      </c>
      <c r="B265" s="1">
        <v>45597</v>
      </c>
      <c r="C265" s="11">
        <v>22</v>
      </c>
      <c r="D265">
        <v>6</v>
      </c>
      <c r="E265" s="28">
        <v>80.02</v>
      </c>
      <c r="F265">
        <v>3</v>
      </c>
      <c r="G265" s="2">
        <v>0.5</v>
      </c>
      <c r="H265">
        <v>1476.69</v>
      </c>
      <c r="I265" s="2">
        <v>2.9300000000000003E-2</v>
      </c>
    </row>
    <row r="266" spans="1:9">
      <c r="A266" t="s">
        <v>13</v>
      </c>
      <c r="B266" s="1">
        <v>45597</v>
      </c>
      <c r="C266" s="11">
        <v>77</v>
      </c>
      <c r="D266">
        <v>16</v>
      </c>
      <c r="E266" s="28">
        <v>502.41</v>
      </c>
      <c r="F266">
        <v>5</v>
      </c>
      <c r="G266" s="2">
        <v>0.3125</v>
      </c>
      <c r="H266">
        <v>1093.75</v>
      </c>
      <c r="I266" s="2">
        <v>3.8399999999999997E-2</v>
      </c>
    </row>
    <row r="267" spans="1:9">
      <c r="A267" t="s">
        <v>14</v>
      </c>
      <c r="B267" s="1">
        <v>45597</v>
      </c>
      <c r="C267" s="11">
        <v>52</v>
      </c>
      <c r="D267">
        <v>6</v>
      </c>
      <c r="E267" s="28">
        <v>492.23</v>
      </c>
      <c r="F267">
        <v>2</v>
      </c>
      <c r="G267" s="2">
        <v>0.33333333333333331</v>
      </c>
      <c r="H267">
        <v>3775.84</v>
      </c>
      <c r="I267" s="2">
        <v>1.1000000000000001E-2</v>
      </c>
    </row>
    <row r="268" spans="1:9">
      <c r="A268" t="s">
        <v>15</v>
      </c>
      <c r="B268" s="1">
        <v>45597</v>
      </c>
      <c r="C268" s="11">
        <v>74</v>
      </c>
      <c r="D268">
        <v>17</v>
      </c>
      <c r="E268" s="28">
        <v>284.91000000000003</v>
      </c>
      <c r="F268">
        <v>3</v>
      </c>
      <c r="G268" s="2">
        <v>0.17647058823529413</v>
      </c>
      <c r="H268">
        <v>2481.64</v>
      </c>
      <c r="I268" s="2">
        <v>9.0500000000000011E-2</v>
      </c>
    </row>
    <row r="269" spans="1:9">
      <c r="A269" t="s">
        <v>16</v>
      </c>
      <c r="B269" s="1">
        <v>45597</v>
      </c>
      <c r="C269" s="11">
        <v>50</v>
      </c>
      <c r="D269">
        <v>9</v>
      </c>
      <c r="E269" s="28">
        <v>237.95</v>
      </c>
      <c r="F269">
        <v>5</v>
      </c>
      <c r="G269" s="2">
        <v>0.55555555555555558</v>
      </c>
      <c r="H269">
        <v>3982.36</v>
      </c>
      <c r="I269" s="2">
        <v>4.4299999999999999E-2</v>
      </c>
    </row>
    <row r="270" spans="1:9">
      <c r="A270" t="s">
        <v>17</v>
      </c>
      <c r="B270" s="1">
        <v>45597</v>
      </c>
      <c r="C270" s="11">
        <v>30</v>
      </c>
      <c r="D270">
        <v>21</v>
      </c>
      <c r="E270" s="28">
        <v>372.34</v>
      </c>
      <c r="F270">
        <v>7</v>
      </c>
      <c r="G270" s="2">
        <v>0.33333333333333331</v>
      </c>
      <c r="H270">
        <v>1172.04</v>
      </c>
      <c r="I270" s="2">
        <v>5.4800000000000001E-2</v>
      </c>
    </row>
    <row r="271" spans="1:9">
      <c r="A271" t="s">
        <v>18</v>
      </c>
      <c r="B271" s="1">
        <v>45597</v>
      </c>
      <c r="C271" s="11">
        <v>74</v>
      </c>
      <c r="D271">
        <v>13</v>
      </c>
      <c r="E271" s="28">
        <v>324.77999999999997</v>
      </c>
      <c r="F271">
        <v>7</v>
      </c>
      <c r="G271" s="2">
        <v>0.53846153846153844</v>
      </c>
      <c r="H271">
        <v>995.6</v>
      </c>
      <c r="I271" s="2">
        <v>3.0699999999999998E-2</v>
      </c>
    </row>
    <row r="272" spans="1:9">
      <c r="A272" t="s">
        <v>19</v>
      </c>
      <c r="B272" s="1">
        <v>45597</v>
      </c>
      <c r="C272" s="11">
        <v>23</v>
      </c>
      <c r="D272">
        <v>7</v>
      </c>
      <c r="E272" s="28">
        <v>190.12</v>
      </c>
      <c r="F272">
        <v>4</v>
      </c>
      <c r="G272" s="2">
        <v>0.5714285714285714</v>
      </c>
      <c r="H272">
        <v>788.65</v>
      </c>
      <c r="I272" s="2">
        <v>7.2000000000000008E-2</v>
      </c>
    </row>
    <row r="273" spans="1:9">
      <c r="A273" t="s">
        <v>20</v>
      </c>
      <c r="B273" s="1">
        <v>45597</v>
      </c>
      <c r="C273" s="11">
        <v>32</v>
      </c>
      <c r="D273">
        <v>7</v>
      </c>
      <c r="E273" s="28">
        <v>563.41999999999996</v>
      </c>
      <c r="F273">
        <v>6</v>
      </c>
      <c r="G273" s="2">
        <v>0.8571428571428571</v>
      </c>
      <c r="H273">
        <v>3543.71</v>
      </c>
      <c r="I273" s="2">
        <v>4.3799999999999999E-2</v>
      </c>
    </row>
    <row r="274" spans="1:9">
      <c r="A274" t="s">
        <v>21</v>
      </c>
      <c r="B274" s="1">
        <v>45597</v>
      </c>
      <c r="C274" s="11">
        <v>59</v>
      </c>
      <c r="D274">
        <v>21</v>
      </c>
      <c r="E274" s="28">
        <v>633.37</v>
      </c>
      <c r="F274">
        <v>2</v>
      </c>
      <c r="G274" s="2">
        <v>9.5238095238095233E-2</v>
      </c>
      <c r="H274">
        <v>358.29</v>
      </c>
      <c r="I274" s="2">
        <v>3.27E-2</v>
      </c>
    </row>
    <row r="275" spans="1:9">
      <c r="A275" t="s">
        <v>22</v>
      </c>
      <c r="B275" s="1">
        <v>45597</v>
      </c>
      <c r="C275" s="11">
        <v>30</v>
      </c>
      <c r="D275">
        <v>6</v>
      </c>
      <c r="E275" s="28">
        <v>209.84</v>
      </c>
      <c r="F275">
        <v>1</v>
      </c>
      <c r="G275" s="2">
        <v>0.16666666666666666</v>
      </c>
      <c r="H275">
        <v>3534.1</v>
      </c>
      <c r="I275" s="2">
        <v>4.2000000000000003E-2</v>
      </c>
    </row>
    <row r="276" spans="1:9">
      <c r="A276" t="s">
        <v>23</v>
      </c>
      <c r="B276" s="1">
        <v>45597</v>
      </c>
      <c r="C276" s="11">
        <v>65</v>
      </c>
      <c r="D276">
        <v>9</v>
      </c>
      <c r="E276" s="28">
        <v>220.46</v>
      </c>
      <c r="F276">
        <v>3</v>
      </c>
      <c r="G276" s="2">
        <v>0.33333333333333331</v>
      </c>
      <c r="H276">
        <v>707.75</v>
      </c>
      <c r="I276" s="2">
        <v>2.76E-2</v>
      </c>
    </row>
    <row r="277" spans="1:9">
      <c r="A277" t="s">
        <v>24</v>
      </c>
      <c r="B277" s="1">
        <v>45597</v>
      </c>
      <c r="C277" s="11">
        <v>100</v>
      </c>
      <c r="D277">
        <v>6</v>
      </c>
      <c r="E277" s="28">
        <v>153.34</v>
      </c>
      <c r="F277">
        <v>3</v>
      </c>
      <c r="G277" s="2">
        <v>0.5</v>
      </c>
      <c r="H277">
        <v>1248.54</v>
      </c>
      <c r="I277" s="2">
        <v>7.9000000000000001E-2</v>
      </c>
    </row>
    <row r="278" spans="1:9">
      <c r="A278" t="s">
        <v>25</v>
      </c>
      <c r="B278" s="1">
        <v>45597</v>
      </c>
      <c r="C278" s="11">
        <v>81</v>
      </c>
      <c r="D278">
        <v>7</v>
      </c>
      <c r="E278" s="28">
        <v>79.62</v>
      </c>
      <c r="F278">
        <v>7</v>
      </c>
      <c r="G278" s="2">
        <v>1</v>
      </c>
      <c r="H278">
        <v>3892.76</v>
      </c>
      <c r="I278" s="2">
        <v>9.74E-2</v>
      </c>
    </row>
    <row r="279" spans="1:9">
      <c r="A279" t="s">
        <v>26</v>
      </c>
      <c r="B279" s="1">
        <v>45597</v>
      </c>
      <c r="C279" s="11">
        <v>26</v>
      </c>
      <c r="D279">
        <v>17</v>
      </c>
      <c r="E279" s="28">
        <v>504.54</v>
      </c>
      <c r="F279">
        <v>8</v>
      </c>
      <c r="G279" s="2">
        <v>0.47058823529411764</v>
      </c>
      <c r="H279">
        <v>3359.77</v>
      </c>
      <c r="I279" s="2">
        <v>3.2000000000000001E-2</v>
      </c>
    </row>
    <row r="280" spans="1:9">
      <c r="A280" t="s">
        <v>27</v>
      </c>
      <c r="B280" s="1">
        <v>45597</v>
      </c>
      <c r="C280" s="11">
        <v>96</v>
      </c>
      <c r="D280">
        <v>16</v>
      </c>
      <c r="E280" s="28">
        <v>161.69</v>
      </c>
      <c r="F280">
        <v>5</v>
      </c>
      <c r="G280" s="2">
        <v>0.3125</v>
      </c>
      <c r="H280">
        <v>392.05</v>
      </c>
      <c r="I280" s="2">
        <v>9.5700000000000007E-2</v>
      </c>
    </row>
    <row r="281" spans="1:9">
      <c r="A281" t="s">
        <v>28</v>
      </c>
      <c r="B281" s="1">
        <v>45597</v>
      </c>
      <c r="C281" s="11">
        <v>72</v>
      </c>
      <c r="D281">
        <v>12</v>
      </c>
      <c r="E281" s="28">
        <v>474.28</v>
      </c>
      <c r="F281">
        <v>1</v>
      </c>
      <c r="G281" s="2">
        <v>8.3333333333333329E-2</v>
      </c>
      <c r="H281">
        <v>1097.5999999999999</v>
      </c>
      <c r="I281" s="2">
        <v>1E-3</v>
      </c>
    </row>
    <row r="282" spans="1:9">
      <c r="A282" t="s">
        <v>29</v>
      </c>
      <c r="B282" s="1">
        <v>45597</v>
      </c>
      <c r="C282" s="11">
        <v>18</v>
      </c>
      <c r="D282">
        <v>15</v>
      </c>
      <c r="E282" s="28">
        <v>268.94</v>
      </c>
      <c r="F282">
        <v>1</v>
      </c>
      <c r="G282" s="2">
        <v>6.6666666666666666E-2</v>
      </c>
      <c r="H282">
        <v>1469.71</v>
      </c>
      <c r="I282" s="2">
        <v>5.0900000000000001E-2</v>
      </c>
    </row>
    <row r="283" spans="1:9">
      <c r="A283" t="s">
        <v>30</v>
      </c>
      <c r="B283" s="1">
        <v>45597</v>
      </c>
      <c r="C283" s="11">
        <v>87</v>
      </c>
      <c r="D283">
        <v>5</v>
      </c>
      <c r="E283" s="28">
        <v>601.28</v>
      </c>
      <c r="F283">
        <v>2</v>
      </c>
      <c r="G283" s="2">
        <v>0.4</v>
      </c>
      <c r="H283">
        <v>3491.19</v>
      </c>
      <c r="I283" s="2">
        <v>2.9700000000000001E-2</v>
      </c>
    </row>
    <row r="284" spans="1:9">
      <c r="A284" t="s">
        <v>31</v>
      </c>
      <c r="B284" s="1">
        <v>45597</v>
      </c>
      <c r="C284" s="11">
        <v>73</v>
      </c>
      <c r="D284">
        <v>8</v>
      </c>
      <c r="E284" s="28">
        <v>182.48</v>
      </c>
      <c r="F284">
        <v>8</v>
      </c>
      <c r="G284" s="2">
        <v>1</v>
      </c>
      <c r="H284">
        <v>548.46</v>
      </c>
      <c r="I284" s="2">
        <v>8.8200000000000001E-2</v>
      </c>
    </row>
    <row r="285" spans="1:9">
      <c r="A285" t="s">
        <v>32</v>
      </c>
      <c r="B285" s="1">
        <v>45597</v>
      </c>
      <c r="C285" s="11">
        <v>97</v>
      </c>
      <c r="D285">
        <v>14</v>
      </c>
      <c r="E285" s="28">
        <v>368.16</v>
      </c>
      <c r="F285">
        <v>0</v>
      </c>
      <c r="G285" s="2">
        <v>0</v>
      </c>
      <c r="H285">
        <v>3020.19</v>
      </c>
      <c r="I285" s="2">
        <v>2.5099999999999997E-2</v>
      </c>
    </row>
    <row r="286" spans="1:9">
      <c r="A286" t="s">
        <v>33</v>
      </c>
      <c r="B286" s="1">
        <v>45597</v>
      </c>
      <c r="C286" s="11">
        <v>28</v>
      </c>
      <c r="D286">
        <v>12</v>
      </c>
      <c r="E286" s="28">
        <v>565.51</v>
      </c>
      <c r="F286">
        <v>4</v>
      </c>
      <c r="G286" s="2">
        <v>0.33333333333333331</v>
      </c>
      <c r="H286">
        <v>231.16</v>
      </c>
      <c r="I286" s="2">
        <v>6.2699999999999992E-2</v>
      </c>
    </row>
    <row r="287" spans="1:9">
      <c r="A287" t="s">
        <v>34</v>
      </c>
      <c r="B287" s="1">
        <v>45597</v>
      </c>
      <c r="C287" s="11">
        <v>41</v>
      </c>
      <c r="D287">
        <v>13</v>
      </c>
      <c r="E287" s="28">
        <v>370.44</v>
      </c>
      <c r="F287">
        <v>9</v>
      </c>
      <c r="G287" s="2">
        <v>0.69230769230769229</v>
      </c>
      <c r="H287">
        <v>4484.96</v>
      </c>
      <c r="I287" s="2">
        <v>8.5199999999999998E-2</v>
      </c>
    </row>
    <row r="288" spans="1:9">
      <c r="A288" t="s">
        <v>9</v>
      </c>
      <c r="B288" s="1">
        <v>45627</v>
      </c>
      <c r="C288" s="11">
        <v>61</v>
      </c>
      <c r="D288">
        <v>13</v>
      </c>
      <c r="E288" s="28">
        <v>356.61</v>
      </c>
      <c r="F288">
        <v>7</v>
      </c>
      <c r="G288" s="2">
        <f t="shared" ref="G288:G313" si="0">F288/D288</f>
        <v>0.53846153846153844</v>
      </c>
      <c r="H288">
        <v>4099.6400000000003</v>
      </c>
      <c r="I288" s="2">
        <v>2.9600000000000001E-2</v>
      </c>
    </row>
    <row r="289" spans="1:9">
      <c r="A289" t="s">
        <v>10</v>
      </c>
      <c r="B289" s="1">
        <v>45627</v>
      </c>
      <c r="C289" s="11">
        <v>80</v>
      </c>
      <c r="D289">
        <v>13</v>
      </c>
      <c r="E289" s="28">
        <v>369.46</v>
      </c>
      <c r="F289">
        <v>4</v>
      </c>
      <c r="G289" s="2">
        <f t="shared" si="0"/>
        <v>0.30769230769230771</v>
      </c>
      <c r="H289">
        <v>3996.04</v>
      </c>
      <c r="I289" s="2">
        <v>3.7499999999999999E-2</v>
      </c>
    </row>
    <row r="290" spans="1:9">
      <c r="A290" t="s">
        <v>11</v>
      </c>
      <c r="B290" s="1">
        <v>45627</v>
      </c>
      <c r="C290" s="11">
        <v>51</v>
      </c>
      <c r="D290">
        <v>14</v>
      </c>
      <c r="E290" s="28">
        <v>419.93</v>
      </c>
      <c r="F290">
        <v>2</v>
      </c>
      <c r="G290" s="2">
        <f t="shared" si="0"/>
        <v>0.14285714285714285</v>
      </c>
      <c r="H290">
        <v>3543.6</v>
      </c>
      <c r="I290" s="2">
        <v>4.6300000000000001E-2</v>
      </c>
    </row>
    <row r="291" spans="1:9">
      <c r="A291" t="s">
        <v>12</v>
      </c>
      <c r="B291" s="1">
        <v>45627</v>
      </c>
      <c r="C291" s="11">
        <v>20</v>
      </c>
      <c r="D291">
        <v>5</v>
      </c>
      <c r="E291" s="28">
        <v>71.41</v>
      </c>
      <c r="F291">
        <v>3</v>
      </c>
      <c r="G291" s="2">
        <f t="shared" si="0"/>
        <v>0.6</v>
      </c>
      <c r="H291">
        <v>1527.27</v>
      </c>
      <c r="I291" s="2">
        <v>2.7000000000000003E-2</v>
      </c>
    </row>
    <row r="292" spans="1:9">
      <c r="A292" t="s">
        <v>13</v>
      </c>
      <c r="B292" s="1">
        <v>45627</v>
      </c>
      <c r="C292" s="11">
        <v>101</v>
      </c>
      <c r="D292">
        <v>14</v>
      </c>
      <c r="E292" s="28">
        <v>503.93</v>
      </c>
      <c r="F292">
        <v>5</v>
      </c>
      <c r="G292" s="2">
        <f t="shared" si="0"/>
        <v>0.35714285714285715</v>
      </c>
      <c r="H292">
        <v>1116.6099999999999</v>
      </c>
      <c r="I292" s="2">
        <v>3.7000000000000005E-2</v>
      </c>
    </row>
    <row r="293" spans="1:9">
      <c r="A293" t="s">
        <v>14</v>
      </c>
      <c r="B293" s="1">
        <v>45627</v>
      </c>
      <c r="C293" s="11">
        <v>70</v>
      </c>
      <c r="D293">
        <v>6</v>
      </c>
      <c r="E293" s="28">
        <v>488.97</v>
      </c>
      <c r="F293">
        <v>3</v>
      </c>
      <c r="G293" s="2">
        <f t="shared" si="0"/>
        <v>0.5</v>
      </c>
      <c r="H293">
        <v>3767.09</v>
      </c>
      <c r="I293" s="2">
        <v>1.0800000000000001E-2</v>
      </c>
    </row>
    <row r="294" spans="1:9">
      <c r="A294" t="s">
        <v>15</v>
      </c>
      <c r="B294" s="1">
        <v>45627</v>
      </c>
      <c r="C294" s="11">
        <v>84</v>
      </c>
      <c r="D294">
        <v>19</v>
      </c>
      <c r="E294" s="28">
        <v>301.2</v>
      </c>
      <c r="F294">
        <v>2</v>
      </c>
      <c r="G294" s="2">
        <f t="shared" si="0"/>
        <v>0.10526315789473684</v>
      </c>
      <c r="H294">
        <v>2608.4699999999998</v>
      </c>
      <c r="I294" s="2">
        <v>0.1032</v>
      </c>
    </row>
    <row r="295" spans="1:9">
      <c r="A295" t="s">
        <v>16</v>
      </c>
      <c r="B295" s="1">
        <v>45627</v>
      </c>
      <c r="C295" s="11">
        <v>50</v>
      </c>
      <c r="D295">
        <v>6</v>
      </c>
      <c r="E295" s="28">
        <v>219.19</v>
      </c>
      <c r="F295">
        <v>4</v>
      </c>
      <c r="G295" s="2">
        <f t="shared" si="0"/>
        <v>0.66666666666666663</v>
      </c>
      <c r="H295">
        <v>3836.95</v>
      </c>
      <c r="I295" s="2">
        <v>3.8699999999999998E-2</v>
      </c>
    </row>
    <row r="296" spans="1:9">
      <c r="A296" t="s">
        <v>17</v>
      </c>
      <c r="B296" s="1">
        <v>45627</v>
      </c>
      <c r="C296" s="11">
        <v>28</v>
      </c>
      <c r="D296">
        <v>19</v>
      </c>
      <c r="E296" s="28">
        <v>352.06</v>
      </c>
      <c r="F296">
        <v>9</v>
      </c>
      <c r="G296" s="2">
        <f t="shared" si="0"/>
        <v>0.47368421052631576</v>
      </c>
      <c r="H296">
        <v>1107.51</v>
      </c>
      <c r="I296" s="2">
        <v>5.5E-2</v>
      </c>
    </row>
    <row r="297" spans="1:9">
      <c r="A297" t="s">
        <v>18</v>
      </c>
      <c r="B297" s="1">
        <v>45627</v>
      </c>
      <c r="C297" s="11">
        <v>69</v>
      </c>
      <c r="D297">
        <v>16</v>
      </c>
      <c r="E297" s="28">
        <v>337.7</v>
      </c>
      <c r="F297">
        <v>9</v>
      </c>
      <c r="G297" s="2">
        <f t="shared" si="0"/>
        <v>0.5625</v>
      </c>
      <c r="H297">
        <v>947.47</v>
      </c>
      <c r="I297" s="2">
        <v>3.56E-2</v>
      </c>
    </row>
    <row r="298" spans="1:9">
      <c r="A298" t="s">
        <v>19</v>
      </c>
      <c r="B298" s="1">
        <v>45627</v>
      </c>
      <c r="C298" s="11">
        <v>18</v>
      </c>
      <c r="D298">
        <v>6</v>
      </c>
      <c r="E298" s="28">
        <v>212.39</v>
      </c>
      <c r="F298">
        <v>3</v>
      </c>
      <c r="G298" s="2">
        <f t="shared" si="0"/>
        <v>0.5</v>
      </c>
      <c r="H298">
        <v>730.81</v>
      </c>
      <c r="I298" s="2">
        <v>8.6699999999999999E-2</v>
      </c>
    </row>
    <row r="299" spans="1:9">
      <c r="A299" t="s">
        <v>20</v>
      </c>
      <c r="B299" s="1">
        <v>45627</v>
      </c>
      <c r="C299" s="11">
        <v>40</v>
      </c>
      <c r="D299">
        <v>7</v>
      </c>
      <c r="E299" s="28">
        <v>486.93</v>
      </c>
      <c r="F299">
        <v>7</v>
      </c>
      <c r="G299" s="2">
        <f t="shared" si="0"/>
        <v>1</v>
      </c>
      <c r="H299">
        <v>3643.63</v>
      </c>
      <c r="I299" s="2">
        <v>4.0199999999999993E-2</v>
      </c>
    </row>
    <row r="300" spans="1:9">
      <c r="A300" t="s">
        <v>21</v>
      </c>
      <c r="B300" s="1">
        <v>45627</v>
      </c>
      <c r="C300" s="11">
        <v>77</v>
      </c>
      <c r="D300">
        <v>16</v>
      </c>
      <c r="E300" s="28">
        <v>539.26</v>
      </c>
      <c r="F300">
        <v>3</v>
      </c>
      <c r="G300" s="2">
        <f t="shared" si="0"/>
        <v>0.1875</v>
      </c>
      <c r="H300">
        <v>379.83</v>
      </c>
      <c r="I300" s="2">
        <v>3.7999999999999999E-2</v>
      </c>
    </row>
    <row r="301" spans="1:9">
      <c r="A301" t="s">
        <v>22</v>
      </c>
      <c r="B301" s="1">
        <v>45627</v>
      </c>
      <c r="C301" s="11">
        <v>31</v>
      </c>
      <c r="D301">
        <v>6</v>
      </c>
      <c r="E301" s="28">
        <v>191.66</v>
      </c>
      <c r="F301">
        <v>2</v>
      </c>
      <c r="G301" s="2">
        <f t="shared" si="0"/>
        <v>0.33333333333333331</v>
      </c>
      <c r="H301">
        <v>3753.06</v>
      </c>
      <c r="I301" s="2">
        <v>3.8300000000000001E-2</v>
      </c>
    </row>
    <row r="302" spans="1:9">
      <c r="A302" t="s">
        <v>23</v>
      </c>
      <c r="B302" s="1">
        <v>45627</v>
      </c>
      <c r="C302" s="11">
        <v>57</v>
      </c>
      <c r="D302">
        <v>7</v>
      </c>
      <c r="E302" s="28">
        <v>190.08</v>
      </c>
      <c r="F302">
        <v>2</v>
      </c>
      <c r="G302" s="2">
        <f t="shared" si="0"/>
        <v>0.2857142857142857</v>
      </c>
      <c r="H302">
        <v>649.97</v>
      </c>
      <c r="I302" s="2">
        <v>2.8799999999999999E-2</v>
      </c>
    </row>
    <row r="303" spans="1:9">
      <c r="A303" t="s">
        <v>24</v>
      </c>
      <c r="B303" s="1">
        <v>45627</v>
      </c>
      <c r="C303" s="11">
        <v>88</v>
      </c>
      <c r="D303">
        <v>5</v>
      </c>
      <c r="E303" s="28">
        <v>168.89</v>
      </c>
      <c r="F303">
        <v>3</v>
      </c>
      <c r="G303" s="2">
        <f t="shared" si="0"/>
        <v>0.6</v>
      </c>
      <c r="H303">
        <v>1153.93</v>
      </c>
      <c r="I303" s="2">
        <v>8.2500000000000004E-2</v>
      </c>
    </row>
    <row r="304" spans="1:9">
      <c r="A304" t="s">
        <v>25</v>
      </c>
      <c r="B304" s="1">
        <v>45627</v>
      </c>
      <c r="C304" s="11">
        <v>74</v>
      </c>
      <c r="D304">
        <v>6</v>
      </c>
      <c r="E304" s="28">
        <v>87.83</v>
      </c>
      <c r="F304">
        <v>6</v>
      </c>
      <c r="G304" s="2">
        <f t="shared" si="0"/>
        <v>1</v>
      </c>
      <c r="H304">
        <v>3741.27</v>
      </c>
      <c r="I304" s="2">
        <v>9.9700000000000011E-2</v>
      </c>
    </row>
    <row r="305" spans="1:9">
      <c r="A305" t="s">
        <v>26</v>
      </c>
      <c r="B305" s="1">
        <v>45627</v>
      </c>
      <c r="C305" s="11">
        <v>26</v>
      </c>
      <c r="D305">
        <v>13</v>
      </c>
      <c r="E305" s="28">
        <v>543.15</v>
      </c>
      <c r="F305">
        <v>6</v>
      </c>
      <c r="G305" s="2">
        <f t="shared" si="0"/>
        <v>0.46153846153846156</v>
      </c>
      <c r="H305">
        <v>3793.56</v>
      </c>
      <c r="I305" s="2">
        <v>3.56E-2</v>
      </c>
    </row>
    <row r="306" spans="1:9">
      <c r="A306" t="s">
        <v>27</v>
      </c>
      <c r="B306" s="1">
        <v>45627</v>
      </c>
      <c r="C306" s="11">
        <v>99</v>
      </c>
      <c r="D306">
        <v>15</v>
      </c>
      <c r="E306" s="28">
        <v>181.12</v>
      </c>
      <c r="F306">
        <v>5</v>
      </c>
      <c r="G306" s="2">
        <f t="shared" si="0"/>
        <v>0.33333333333333331</v>
      </c>
      <c r="H306">
        <v>454.09</v>
      </c>
      <c r="I306" s="2">
        <v>9.3599999999999989E-2</v>
      </c>
    </row>
    <row r="307" spans="1:9">
      <c r="A307" t="s">
        <v>28</v>
      </c>
      <c r="B307" s="1">
        <v>45627</v>
      </c>
      <c r="C307" s="11">
        <v>74</v>
      </c>
      <c r="D307">
        <v>14</v>
      </c>
      <c r="E307" s="28">
        <v>508.85</v>
      </c>
      <c r="F307">
        <v>1</v>
      </c>
      <c r="G307" s="2">
        <f t="shared" si="0"/>
        <v>7.1428571428571425E-2</v>
      </c>
      <c r="H307">
        <v>1182.6300000000001</v>
      </c>
      <c r="I307" s="2">
        <v>8.9999999999999998E-4</v>
      </c>
    </row>
    <row r="308" spans="1:9">
      <c r="A308" t="s">
        <v>29</v>
      </c>
      <c r="B308" s="1">
        <v>45627</v>
      </c>
      <c r="C308" s="11">
        <v>21</v>
      </c>
      <c r="D308">
        <v>17</v>
      </c>
      <c r="E308" s="28">
        <v>297.83999999999997</v>
      </c>
      <c r="F308">
        <v>1</v>
      </c>
      <c r="G308" s="2">
        <f t="shared" si="0"/>
        <v>5.8823529411764705E-2</v>
      </c>
      <c r="H308">
        <v>1553.7</v>
      </c>
      <c r="I308" s="2">
        <v>5.0700000000000002E-2</v>
      </c>
    </row>
    <row r="309" spans="1:9">
      <c r="A309" t="s">
        <v>30</v>
      </c>
      <c r="B309" s="1">
        <v>45627</v>
      </c>
      <c r="C309" s="11">
        <v>94</v>
      </c>
      <c r="D309">
        <v>6</v>
      </c>
      <c r="E309" s="28">
        <v>537.26</v>
      </c>
      <c r="F309">
        <v>1</v>
      </c>
      <c r="G309" s="2">
        <f t="shared" si="0"/>
        <v>0.16666666666666666</v>
      </c>
      <c r="H309">
        <v>3665.55</v>
      </c>
      <c r="I309" s="2">
        <v>3.0800000000000001E-2</v>
      </c>
    </row>
    <row r="310" spans="1:9">
      <c r="A310" t="s">
        <v>31</v>
      </c>
      <c r="B310" s="1">
        <v>45627</v>
      </c>
      <c r="C310" s="11">
        <v>83</v>
      </c>
      <c r="D310">
        <v>9</v>
      </c>
      <c r="E310" s="28">
        <v>188.49</v>
      </c>
      <c r="F310">
        <v>7</v>
      </c>
      <c r="G310" s="2">
        <f t="shared" si="0"/>
        <v>0.77777777777777779</v>
      </c>
      <c r="H310">
        <v>545.09</v>
      </c>
      <c r="I310" s="2">
        <v>8.5600000000000009E-2</v>
      </c>
    </row>
    <row r="311" spans="1:9">
      <c r="A311" t="s">
        <v>32</v>
      </c>
      <c r="B311" s="1">
        <v>45627</v>
      </c>
      <c r="C311" s="11">
        <v>84</v>
      </c>
      <c r="D311">
        <v>14</v>
      </c>
      <c r="E311" s="28">
        <v>370.36</v>
      </c>
      <c r="F311">
        <v>0</v>
      </c>
      <c r="G311" s="2">
        <f t="shared" si="0"/>
        <v>0</v>
      </c>
      <c r="H311">
        <v>2605.02</v>
      </c>
      <c r="I311" s="2">
        <v>2.5499999999999998E-2</v>
      </c>
    </row>
    <row r="312" spans="1:9">
      <c r="A312" t="s">
        <v>33</v>
      </c>
      <c r="B312" s="1">
        <v>45627</v>
      </c>
      <c r="C312" s="11">
        <v>32</v>
      </c>
      <c r="D312">
        <v>10</v>
      </c>
      <c r="E312" s="28">
        <v>500.83</v>
      </c>
      <c r="F312">
        <v>4</v>
      </c>
      <c r="G312" s="2">
        <f t="shared" si="0"/>
        <v>0.4</v>
      </c>
      <c r="H312">
        <v>239.13</v>
      </c>
      <c r="I312" s="2">
        <v>6.1900000000000004E-2</v>
      </c>
    </row>
    <row r="313" spans="1:9">
      <c r="A313" t="s">
        <v>34</v>
      </c>
      <c r="B313" s="1">
        <v>45627</v>
      </c>
      <c r="C313" s="11">
        <v>39</v>
      </c>
      <c r="D313">
        <v>15</v>
      </c>
      <c r="E313" s="28">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5"/>
  <sheetViews>
    <sheetView showGridLines="0" tabSelected="1" zoomScale="58" zoomScaleNormal="58" workbookViewId="0">
      <selection activeCell="N38" sqref="N38"/>
    </sheetView>
  </sheetViews>
  <sheetFormatPr defaultRowHeight="13.8"/>
  <cols>
    <col min="2" max="2" width="13.09765625" bestFit="1" customWidth="1"/>
    <col min="3" max="3" width="17" customWidth="1"/>
    <col min="4" max="4" width="17.69921875" bestFit="1" customWidth="1"/>
    <col min="5" max="5" width="23.19921875" bestFit="1" customWidth="1"/>
    <col min="6" max="6" width="21.5" bestFit="1" customWidth="1"/>
    <col min="7" max="7" width="22" bestFit="1" customWidth="1"/>
    <col min="8" max="8" width="28.5" bestFit="1" customWidth="1"/>
    <col min="21" max="21" width="55.19921875" customWidth="1"/>
  </cols>
  <sheetData>
    <row r="1" spans="1:21" ht="14.4" thickTop="1">
      <c r="A1" s="18"/>
      <c r="B1" s="19"/>
      <c r="C1" s="19"/>
      <c r="D1" s="19"/>
      <c r="E1" s="19"/>
      <c r="F1" s="19"/>
      <c r="G1" s="19"/>
      <c r="H1" s="19"/>
      <c r="I1" s="19"/>
      <c r="J1" s="19"/>
      <c r="K1" s="19"/>
      <c r="L1" s="19"/>
      <c r="M1" s="19"/>
      <c r="N1" s="19"/>
      <c r="O1" s="19"/>
      <c r="P1" s="19"/>
      <c r="Q1" s="19"/>
      <c r="R1" s="19"/>
      <c r="S1" s="19"/>
      <c r="T1" s="19"/>
      <c r="U1" s="20"/>
    </row>
    <row r="2" spans="1:21">
      <c r="A2" s="21"/>
      <c r="B2" s="22"/>
      <c r="C2" s="22"/>
      <c r="D2" s="22"/>
      <c r="E2" s="22"/>
      <c r="F2" s="22"/>
      <c r="G2" s="22"/>
      <c r="H2" s="22"/>
      <c r="I2" s="22"/>
      <c r="J2" s="22"/>
      <c r="K2" s="22"/>
      <c r="L2" s="22"/>
      <c r="M2" s="22"/>
      <c r="N2" s="22"/>
      <c r="O2" s="22"/>
      <c r="P2" s="22"/>
      <c r="Q2" s="22"/>
      <c r="R2" s="22"/>
      <c r="S2" s="22"/>
      <c r="T2" s="22"/>
      <c r="U2" s="23"/>
    </row>
    <row r="3" spans="1:21">
      <c r="A3" s="21"/>
      <c r="B3" s="22"/>
      <c r="C3" s="22"/>
      <c r="D3" s="22"/>
      <c r="E3" s="22"/>
      <c r="F3" s="22"/>
      <c r="G3" s="22"/>
      <c r="H3" s="22"/>
      <c r="I3" s="22"/>
      <c r="J3" s="22"/>
      <c r="K3" s="22"/>
      <c r="L3" s="22"/>
      <c r="M3" s="22"/>
      <c r="N3" s="22"/>
      <c r="O3" s="22"/>
      <c r="P3" s="22"/>
      <c r="Q3" s="22"/>
      <c r="R3" s="22"/>
      <c r="S3" s="22"/>
      <c r="T3" s="22"/>
      <c r="U3" s="23"/>
    </row>
    <row r="4" spans="1:21">
      <c r="A4" s="21"/>
      <c r="B4" s="22"/>
      <c r="C4" s="22"/>
      <c r="D4" s="22"/>
      <c r="E4" s="22"/>
      <c r="F4" s="22"/>
      <c r="G4" s="22"/>
      <c r="H4" s="22"/>
      <c r="I4" s="22"/>
      <c r="J4" s="22"/>
      <c r="K4" s="22"/>
      <c r="L4" s="22"/>
      <c r="M4" s="22"/>
      <c r="N4" s="22"/>
      <c r="O4" s="22"/>
      <c r="P4" s="22"/>
      <c r="Q4" s="22"/>
      <c r="R4" s="22"/>
      <c r="S4" s="22"/>
      <c r="T4" s="22"/>
      <c r="U4" s="23"/>
    </row>
    <row r="5" spans="1:21">
      <c r="A5" s="21"/>
      <c r="B5" s="22"/>
      <c r="C5" s="22"/>
      <c r="D5" s="22"/>
      <c r="E5" s="22"/>
      <c r="F5" s="22"/>
      <c r="G5" s="22"/>
      <c r="H5" s="22"/>
      <c r="I5" s="22"/>
      <c r="J5" s="22"/>
      <c r="K5" s="22"/>
      <c r="L5" s="22"/>
      <c r="M5" s="22"/>
      <c r="N5" s="22"/>
      <c r="O5" s="22"/>
      <c r="P5" s="22"/>
      <c r="Q5" s="22"/>
      <c r="R5" s="22"/>
      <c r="S5" s="22"/>
      <c r="T5" s="22"/>
      <c r="U5" s="23"/>
    </row>
    <row r="6" spans="1:21" ht="42" customHeight="1" thickBot="1">
      <c r="A6" s="24"/>
      <c r="B6" s="25"/>
      <c r="C6" s="22"/>
      <c r="D6" s="22"/>
      <c r="E6" s="22"/>
      <c r="F6" s="22"/>
      <c r="G6" s="22"/>
      <c r="H6" s="22"/>
      <c r="I6" s="25"/>
      <c r="J6" s="25"/>
      <c r="K6" s="25"/>
      <c r="L6" s="25"/>
      <c r="M6" s="25"/>
      <c r="N6" s="25"/>
      <c r="O6" s="25"/>
      <c r="P6" s="25"/>
      <c r="Q6" s="25"/>
      <c r="R6" s="25"/>
      <c r="S6" s="25"/>
      <c r="T6" s="25"/>
      <c r="U6" s="26"/>
    </row>
    <row r="7" spans="1:21" ht="14.4" thickTop="1"/>
    <row r="8" spans="1:21" ht="20.399999999999999">
      <c r="C8" s="16" t="s">
        <v>0</v>
      </c>
      <c r="D8" s="17" t="s">
        <v>42</v>
      </c>
      <c r="E8" s="17" t="s">
        <v>43</v>
      </c>
      <c r="F8" s="17" t="s">
        <v>44</v>
      </c>
      <c r="G8" s="17" t="s">
        <v>45</v>
      </c>
      <c r="H8" s="17" t="s">
        <v>46</v>
      </c>
    </row>
    <row r="9" spans="1:21" ht="17.399999999999999">
      <c r="C9" s="12" t="s">
        <v>34</v>
      </c>
      <c r="D9" s="13">
        <v>453</v>
      </c>
      <c r="E9" s="13">
        <v>184</v>
      </c>
      <c r="F9" s="13">
        <v>92</v>
      </c>
      <c r="G9" s="13">
        <v>50524.4</v>
      </c>
      <c r="H9" s="13">
        <v>1.0044999999999999</v>
      </c>
    </row>
    <row r="10" spans="1:21" ht="17.399999999999999">
      <c r="C10" s="12" t="s">
        <v>16</v>
      </c>
      <c r="D10" s="13">
        <v>660</v>
      </c>
      <c r="E10" s="13">
        <v>92</v>
      </c>
      <c r="F10" s="13">
        <v>71</v>
      </c>
      <c r="G10" s="13">
        <v>49072.98</v>
      </c>
      <c r="H10" s="13">
        <v>0.4956000000000001</v>
      </c>
    </row>
    <row r="11" spans="1:21" ht="17.399999999999999">
      <c r="C11" s="12" t="s">
        <v>9</v>
      </c>
      <c r="D11" s="13">
        <v>783</v>
      </c>
      <c r="E11" s="13">
        <v>181</v>
      </c>
      <c r="F11" s="13">
        <v>77</v>
      </c>
      <c r="G11" s="13">
        <v>49041</v>
      </c>
      <c r="H11" s="13">
        <v>0.3402</v>
      </c>
    </row>
    <row r="12" spans="1:21" ht="17.399999999999999">
      <c r="C12" s="12" t="s">
        <v>22</v>
      </c>
      <c r="D12" s="13">
        <v>379</v>
      </c>
      <c r="E12" s="13">
        <v>87</v>
      </c>
      <c r="F12" s="13">
        <v>18</v>
      </c>
      <c r="G12" s="13">
        <v>45591.429999999993</v>
      </c>
      <c r="H12" s="13">
        <v>0.48699999999999993</v>
      </c>
    </row>
    <row r="13" spans="1:21" ht="17.399999999999999">
      <c r="C13" s="12" t="s">
        <v>25</v>
      </c>
      <c r="D13" s="13">
        <v>1023</v>
      </c>
      <c r="E13" s="13">
        <v>76</v>
      </c>
      <c r="F13" s="13">
        <v>64</v>
      </c>
      <c r="G13" s="13">
        <v>45365.2</v>
      </c>
      <c r="H13" s="13">
        <v>1.1017000000000001</v>
      </c>
    </row>
    <row r="14" spans="1:21" ht="17.399999999999999">
      <c r="C14" s="12" t="s">
        <v>10</v>
      </c>
      <c r="D14" s="13">
        <v>907</v>
      </c>
      <c r="E14" s="13">
        <v>141</v>
      </c>
      <c r="F14" s="13">
        <v>53</v>
      </c>
      <c r="G14" s="13">
        <v>45196.26</v>
      </c>
      <c r="H14" s="13">
        <v>0.48589999999999994</v>
      </c>
    </row>
    <row r="15" spans="1:21" ht="17.399999999999999">
      <c r="C15" s="12" t="s">
        <v>26</v>
      </c>
      <c r="D15" s="13">
        <v>288</v>
      </c>
      <c r="E15" s="13">
        <v>180</v>
      </c>
      <c r="F15" s="13">
        <v>81</v>
      </c>
      <c r="G15" s="13">
        <v>44979.729999999996</v>
      </c>
      <c r="H15" s="13">
        <v>0.40710000000000007</v>
      </c>
    </row>
    <row r="16" spans="1:21" ht="17.399999999999999">
      <c r="C16" s="12" t="s">
        <v>20</v>
      </c>
      <c r="D16" s="13">
        <v>420</v>
      </c>
      <c r="E16" s="13">
        <v>74</v>
      </c>
      <c r="F16" s="13">
        <v>59</v>
      </c>
      <c r="G16" s="13">
        <v>44146.13</v>
      </c>
      <c r="H16" s="13">
        <v>0.48570000000000002</v>
      </c>
    </row>
    <row r="17" spans="3:8" ht="17.399999999999999">
      <c r="C17" s="12" t="s">
        <v>14</v>
      </c>
      <c r="D17" s="13">
        <v>731</v>
      </c>
      <c r="E17" s="13">
        <v>79</v>
      </c>
      <c r="F17" s="13">
        <v>31</v>
      </c>
      <c r="G17" s="13">
        <v>43859.520000000004</v>
      </c>
      <c r="H17" s="13">
        <v>0.14000000000000001</v>
      </c>
    </row>
    <row r="18" spans="3:8" ht="17.399999999999999">
      <c r="C18" s="12" t="s">
        <v>11</v>
      </c>
      <c r="D18" s="13">
        <v>617</v>
      </c>
      <c r="E18" s="13">
        <v>177</v>
      </c>
      <c r="F18" s="13">
        <v>28</v>
      </c>
      <c r="G18" s="13">
        <v>42137.53</v>
      </c>
      <c r="H18" s="13">
        <v>0.51700000000000002</v>
      </c>
    </row>
    <row r="19" spans="3:8" ht="17.399999999999999">
      <c r="C19" s="12" t="s">
        <v>30</v>
      </c>
      <c r="D19" s="13">
        <v>1151</v>
      </c>
      <c r="E19" s="13">
        <v>69</v>
      </c>
      <c r="F19" s="13">
        <v>18</v>
      </c>
      <c r="G19" s="13">
        <v>41544.150000000009</v>
      </c>
      <c r="H19" s="13">
        <v>0.36399999999999999</v>
      </c>
    </row>
    <row r="20" spans="3:8" ht="17.399999999999999">
      <c r="C20" s="12" t="s">
        <v>32</v>
      </c>
      <c r="D20" s="13">
        <v>1180</v>
      </c>
      <c r="E20" s="13">
        <v>173</v>
      </c>
      <c r="F20" s="13">
        <v>4</v>
      </c>
      <c r="G20" s="13">
        <v>34781.939999999995</v>
      </c>
      <c r="H20" s="13">
        <v>0.29930000000000001</v>
      </c>
    </row>
    <row r="21" spans="3:8" ht="17.399999999999999">
      <c r="C21" s="12" t="s">
        <v>15</v>
      </c>
      <c r="D21" s="13">
        <v>924</v>
      </c>
      <c r="E21" s="13">
        <v>218</v>
      </c>
      <c r="F21" s="13">
        <v>30</v>
      </c>
      <c r="G21" s="13">
        <v>29842.950000000004</v>
      </c>
      <c r="H21" s="13">
        <v>1.1950000000000001</v>
      </c>
    </row>
    <row r="22" spans="3:8" ht="17.399999999999999">
      <c r="C22" s="12" t="s">
        <v>29</v>
      </c>
      <c r="D22" s="13">
        <v>246</v>
      </c>
      <c r="E22" s="13">
        <v>172</v>
      </c>
      <c r="F22" s="13">
        <v>17</v>
      </c>
      <c r="G22" s="13">
        <v>18659.18</v>
      </c>
      <c r="H22" s="13">
        <v>0.63040000000000007</v>
      </c>
    </row>
    <row r="23" spans="3:8" ht="17.399999999999999">
      <c r="C23" s="12" t="s">
        <v>12</v>
      </c>
      <c r="D23" s="13">
        <v>241</v>
      </c>
      <c r="E23" s="13">
        <v>80</v>
      </c>
      <c r="F23" s="13">
        <v>40</v>
      </c>
      <c r="G23" s="13">
        <v>18368.47</v>
      </c>
      <c r="H23" s="13">
        <v>0.35580000000000006</v>
      </c>
    </row>
    <row r="24" spans="3:8" ht="17.399999999999999">
      <c r="C24" s="12" t="s">
        <v>24</v>
      </c>
      <c r="D24" s="13">
        <v>1119</v>
      </c>
      <c r="E24" s="13">
        <v>61</v>
      </c>
      <c r="F24" s="13">
        <v>40</v>
      </c>
      <c r="G24" s="13">
        <v>14672.969999999998</v>
      </c>
      <c r="H24" s="13">
        <v>0.94120000000000004</v>
      </c>
    </row>
    <row r="25" spans="3:8" ht="17.399999999999999">
      <c r="C25" s="12" t="s">
        <v>28</v>
      </c>
      <c r="D25" s="13">
        <v>831</v>
      </c>
      <c r="E25" s="13">
        <v>154</v>
      </c>
      <c r="F25" s="13">
        <v>4</v>
      </c>
      <c r="G25" s="13">
        <v>14526.439999999999</v>
      </c>
      <c r="H25" s="13">
        <v>1.1900000000000003E-2</v>
      </c>
    </row>
    <row r="26" spans="3:8" ht="17.399999999999999">
      <c r="C26" s="12" t="s">
        <v>17</v>
      </c>
      <c r="D26" s="13">
        <v>367</v>
      </c>
      <c r="E26" s="13">
        <v>217</v>
      </c>
      <c r="F26" s="13">
        <v>103</v>
      </c>
      <c r="G26" s="13">
        <v>14209.390000000001</v>
      </c>
      <c r="H26" s="13">
        <v>0.68730000000000002</v>
      </c>
    </row>
    <row r="27" spans="3:8" ht="17.399999999999999">
      <c r="C27" s="12" t="s">
        <v>13</v>
      </c>
      <c r="D27" s="13">
        <v>977</v>
      </c>
      <c r="E27" s="13">
        <v>166</v>
      </c>
      <c r="F27" s="13">
        <v>55</v>
      </c>
      <c r="G27" s="13">
        <v>12143.710000000001</v>
      </c>
      <c r="H27" s="13">
        <v>0.46930000000000005</v>
      </c>
    </row>
    <row r="28" spans="3:8" ht="17.399999999999999">
      <c r="C28" s="12" t="s">
        <v>18</v>
      </c>
      <c r="D28" s="13">
        <v>806</v>
      </c>
      <c r="E28" s="13">
        <v>184</v>
      </c>
      <c r="F28" s="13">
        <v>100</v>
      </c>
      <c r="G28" s="13">
        <v>12040.489999999998</v>
      </c>
      <c r="H28" s="13">
        <v>0.41290000000000004</v>
      </c>
    </row>
    <row r="29" spans="3:8" ht="17.399999999999999">
      <c r="C29" s="12" t="s">
        <v>19</v>
      </c>
      <c r="D29" s="13">
        <v>226</v>
      </c>
      <c r="E29" s="13">
        <v>91</v>
      </c>
      <c r="F29" s="13">
        <v>73</v>
      </c>
      <c r="G29" s="13">
        <v>9402.9399999999987</v>
      </c>
      <c r="H29" s="13">
        <v>0.92100000000000004</v>
      </c>
    </row>
    <row r="30" spans="3:8" ht="17.399999999999999">
      <c r="C30" s="12" t="s">
        <v>23</v>
      </c>
      <c r="D30" s="13">
        <v>747</v>
      </c>
      <c r="E30" s="13">
        <v>97</v>
      </c>
      <c r="F30" s="13">
        <v>31</v>
      </c>
      <c r="G30" s="13">
        <v>7844.18</v>
      </c>
      <c r="H30" s="13">
        <v>0.35080000000000006</v>
      </c>
    </row>
    <row r="31" spans="3:8" ht="17.399999999999999">
      <c r="C31" s="12" t="s">
        <v>31</v>
      </c>
      <c r="D31" s="13">
        <v>848</v>
      </c>
      <c r="E31" s="13">
        <v>99</v>
      </c>
      <c r="F31" s="13">
        <v>84</v>
      </c>
      <c r="G31" s="13">
        <v>6133.4100000000008</v>
      </c>
      <c r="H31" s="13">
        <v>1.0493999999999999</v>
      </c>
    </row>
    <row r="32" spans="3:8" ht="17.399999999999999">
      <c r="C32" s="12" t="s">
        <v>27</v>
      </c>
      <c r="D32" s="13">
        <v>1087</v>
      </c>
      <c r="E32" s="13">
        <v>212</v>
      </c>
      <c r="F32" s="13">
        <v>54</v>
      </c>
      <c r="G32" s="13">
        <v>5002.7100000000009</v>
      </c>
      <c r="H32" s="13">
        <v>1.1775999999999998</v>
      </c>
    </row>
    <row r="33" spans="3:8" ht="17.399999999999999">
      <c r="C33" s="12" t="s">
        <v>21</v>
      </c>
      <c r="D33" s="13">
        <v>882</v>
      </c>
      <c r="E33" s="13">
        <v>225</v>
      </c>
      <c r="F33" s="13">
        <v>30</v>
      </c>
      <c r="G33" s="13">
        <v>4278.2</v>
      </c>
      <c r="H33" s="13">
        <v>0.42599999999999999</v>
      </c>
    </row>
    <row r="34" spans="3:8" ht="17.399999999999999">
      <c r="C34" s="12" t="s">
        <v>33</v>
      </c>
      <c r="D34" s="13">
        <v>407</v>
      </c>
      <c r="E34" s="13">
        <v>130</v>
      </c>
      <c r="F34" s="13">
        <v>52</v>
      </c>
      <c r="G34" s="13">
        <v>2829.58</v>
      </c>
      <c r="H34" s="13">
        <v>0.79959999999999998</v>
      </c>
    </row>
    <row r="35" spans="3:8" s="7" customFormat="1" ht="21">
      <c r="C35" s="15" t="s">
        <v>36</v>
      </c>
      <c r="D35" s="14">
        <v>18300</v>
      </c>
      <c r="E35" s="14">
        <v>3619</v>
      </c>
      <c r="F35" s="14">
        <v>1309</v>
      </c>
      <c r="G35" s="14">
        <v>706194.8899999999</v>
      </c>
      <c r="H35" s="14">
        <v>15.556200000000002</v>
      </c>
    </row>
  </sheetData>
  <mergeCells count="1">
    <mergeCell ref="A1:U6"/>
  </mergeCells>
  <conditionalFormatting pivot="1" sqref="H9:H34">
    <cfRule type="dataBar" priority="8">
      <dataBar>
        <cfvo type="min"/>
        <cfvo type="max"/>
        <color rgb="FF008AEF"/>
      </dataBar>
      <extLst>
        <ext xmlns:x14="http://schemas.microsoft.com/office/spreadsheetml/2009/9/main" uri="{B025F937-C7B1-47D3-B67F-A62EFF666E3E}">
          <x14:id>{0D5F3908-A285-4935-9A02-B3B2495A460D}</x14:id>
        </ext>
      </extLst>
    </cfRule>
  </conditionalFormatting>
  <conditionalFormatting pivot="1" sqref="G9:G34">
    <cfRule type="dataBar" priority="4">
      <dataBar>
        <cfvo type="min"/>
        <cfvo type="max"/>
        <color rgb="FFFF555A"/>
      </dataBar>
      <extLst>
        <ext xmlns:x14="http://schemas.microsoft.com/office/spreadsheetml/2009/9/main" uri="{B025F937-C7B1-47D3-B67F-A62EFF666E3E}">
          <x14:id>{3902D3AF-3C04-48FC-8A75-60ECA3EECF66}</x14:id>
        </ext>
      </extLst>
    </cfRule>
  </conditionalFormatting>
  <conditionalFormatting pivot="1" sqref="F9:F34">
    <cfRule type="dataBar" priority="3">
      <dataBar>
        <cfvo type="min"/>
        <cfvo type="max"/>
        <color rgb="FFD6007B"/>
      </dataBar>
      <extLst>
        <ext xmlns:x14="http://schemas.microsoft.com/office/spreadsheetml/2009/9/main" uri="{B025F937-C7B1-47D3-B67F-A62EFF666E3E}">
          <x14:id>{85254132-D255-40D0-93AE-3BA2AA41B3DF}</x14:id>
        </ext>
      </extLst>
    </cfRule>
  </conditionalFormatting>
  <conditionalFormatting pivot="1" sqref="E9:E34">
    <cfRule type="dataBar" priority="7">
      <dataBar>
        <cfvo type="min"/>
        <cfvo type="max"/>
        <color rgb="FF008AEF"/>
      </dataBar>
      <extLst>
        <ext xmlns:x14="http://schemas.microsoft.com/office/spreadsheetml/2009/9/main" uri="{B025F937-C7B1-47D3-B67F-A62EFF666E3E}">
          <x14:id>{1FA2C474-E53B-486C-87F3-8084BC533684}</x14:id>
        </ext>
      </extLst>
    </cfRule>
  </conditionalFormatting>
  <conditionalFormatting pivot="1" sqref="D9:D34">
    <cfRule type="dataBar" priority="6">
      <dataBar>
        <cfvo type="min"/>
        <cfvo type="max"/>
        <color rgb="FF008AEF"/>
      </dataBar>
      <extLst>
        <ext xmlns:x14="http://schemas.microsoft.com/office/spreadsheetml/2009/9/main" uri="{B025F937-C7B1-47D3-B67F-A62EFF666E3E}">
          <x14:id>{2F0C0DBA-7960-4602-B7C6-B45AA6FEC1AD}</x14:id>
        </ext>
      </extLst>
    </cfRule>
  </conditionalFormatting>
  <conditionalFormatting sqref="C9:C34">
    <cfRule type="dataBar" priority="5">
      <dataBar>
        <cfvo type="min"/>
        <cfvo type="max"/>
        <color rgb="FF008AEF"/>
      </dataBar>
      <extLst>
        <ext xmlns:x14="http://schemas.microsoft.com/office/spreadsheetml/2009/9/main" uri="{B025F937-C7B1-47D3-B67F-A62EFF666E3E}">
          <x14:id>{0045476A-0FB1-42E7-8796-230E0DCB4230}</x14:id>
        </ext>
      </extLst>
    </cfRule>
  </conditionalFormatting>
  <conditionalFormatting pivot="1" sqref="E9:E34">
    <cfRule type="dataBar" priority="2">
      <dataBar>
        <cfvo type="min"/>
        <cfvo type="max"/>
        <color rgb="FFFFFF00"/>
      </dataBar>
      <extLst>
        <ext xmlns:x14="http://schemas.microsoft.com/office/spreadsheetml/2009/9/main" uri="{B025F937-C7B1-47D3-B67F-A62EFF666E3E}">
          <x14:id>{359E585D-D56E-4E42-AE55-C8E149ABA32E}</x14:id>
        </ext>
      </extLst>
    </cfRule>
  </conditionalFormatting>
  <conditionalFormatting pivot="1" sqref="D9:D34">
    <cfRule type="dataBar" priority="1">
      <dataBar>
        <cfvo type="min"/>
        <cfvo type="max"/>
        <color theme="4"/>
      </dataBar>
      <extLst>
        <ext xmlns:x14="http://schemas.microsoft.com/office/spreadsheetml/2009/9/main" uri="{B025F937-C7B1-47D3-B67F-A62EFF666E3E}">
          <x14:id>{CB9F108F-1171-4BCA-B224-73A42FDDCE61}</x14:id>
        </ext>
      </extLst>
    </cfRule>
  </conditionalFormatting>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0D5F3908-A285-4935-9A02-B3B2495A460D}">
            <x14:dataBar minLength="0" maxLength="100" border="1" negativeBarBorderColorSameAsPositive="0">
              <x14:cfvo type="autoMin"/>
              <x14:cfvo type="autoMax"/>
              <x14:borderColor rgb="FF008AEF"/>
              <x14:negativeFillColor rgb="FFFF0000"/>
              <x14:negativeBorderColor rgb="FFFF0000"/>
              <x14:axisColor rgb="FF000000"/>
            </x14:dataBar>
          </x14:cfRule>
          <xm:sqref>H9:H34</xm:sqref>
        </x14:conditionalFormatting>
        <x14:conditionalFormatting xmlns:xm="http://schemas.microsoft.com/office/excel/2006/main" pivot="1">
          <x14:cfRule type="dataBar" id="{3902D3AF-3C04-48FC-8A75-60ECA3EECF66}">
            <x14:dataBar minLength="0" maxLength="100" border="1" negativeBarBorderColorSameAsPositive="0">
              <x14:cfvo type="autoMin"/>
              <x14:cfvo type="autoMax"/>
              <x14:borderColor rgb="FFFF555A"/>
              <x14:negativeFillColor rgb="FFFF0000"/>
              <x14:negativeBorderColor rgb="FFFF0000"/>
              <x14:axisColor rgb="FF000000"/>
            </x14:dataBar>
          </x14:cfRule>
          <xm:sqref>G9:G34</xm:sqref>
        </x14:conditionalFormatting>
        <x14:conditionalFormatting xmlns:xm="http://schemas.microsoft.com/office/excel/2006/main" pivot="1">
          <x14:cfRule type="dataBar" id="{85254132-D255-40D0-93AE-3BA2AA41B3DF}">
            <x14:dataBar minLength="0" maxLength="100" gradient="0">
              <x14:cfvo type="autoMin"/>
              <x14:cfvo type="autoMax"/>
              <x14:negativeFillColor rgb="FFFF0000"/>
              <x14:axisColor rgb="FF000000"/>
            </x14:dataBar>
          </x14:cfRule>
          <xm:sqref>F9:F34</xm:sqref>
        </x14:conditionalFormatting>
        <x14:conditionalFormatting xmlns:xm="http://schemas.microsoft.com/office/excel/2006/main" pivot="1">
          <x14:cfRule type="dataBar" id="{1FA2C474-E53B-486C-87F3-8084BC533684}">
            <x14:dataBar minLength="0" maxLength="100" border="1" negativeBarBorderColorSameAsPositive="0">
              <x14:cfvo type="autoMin"/>
              <x14:cfvo type="autoMax"/>
              <x14:borderColor rgb="FF008AEF"/>
              <x14:negativeFillColor rgb="FFFF0000"/>
              <x14:negativeBorderColor rgb="FFFF0000"/>
              <x14:axisColor rgb="FF000000"/>
            </x14:dataBar>
          </x14:cfRule>
          <xm:sqref>E9:E34</xm:sqref>
        </x14:conditionalFormatting>
        <x14:conditionalFormatting xmlns:xm="http://schemas.microsoft.com/office/excel/2006/main" pivot="1">
          <x14:cfRule type="dataBar" id="{2F0C0DBA-7960-4602-B7C6-B45AA6FEC1AD}">
            <x14:dataBar minLength="0" maxLength="100" border="1" negativeBarBorderColorSameAsPositive="0">
              <x14:cfvo type="autoMin"/>
              <x14:cfvo type="autoMax"/>
              <x14:borderColor rgb="FF008AEF"/>
              <x14:negativeFillColor rgb="FFFF0000"/>
              <x14:negativeBorderColor rgb="FFFF0000"/>
              <x14:axisColor rgb="FF000000"/>
            </x14:dataBar>
          </x14:cfRule>
          <xm:sqref>D9:D34</xm:sqref>
        </x14:conditionalFormatting>
        <x14:conditionalFormatting xmlns:xm="http://schemas.microsoft.com/office/excel/2006/main">
          <x14:cfRule type="dataBar" id="{0045476A-0FB1-42E7-8796-230E0DCB4230}">
            <x14:dataBar minLength="0" maxLength="100" border="1" negativeBarBorderColorSameAsPositive="0">
              <x14:cfvo type="autoMin"/>
              <x14:cfvo type="autoMax"/>
              <x14:borderColor rgb="FF008AEF"/>
              <x14:negativeFillColor rgb="FFFF0000"/>
              <x14:negativeBorderColor rgb="FFFF0000"/>
              <x14:axisColor rgb="FF000000"/>
            </x14:dataBar>
          </x14:cfRule>
          <xm:sqref>C9:C34</xm:sqref>
        </x14:conditionalFormatting>
        <x14:conditionalFormatting xmlns:xm="http://schemas.microsoft.com/office/excel/2006/main" pivot="1">
          <x14:cfRule type="dataBar" id="{359E585D-D56E-4E42-AE55-C8E149ABA32E}">
            <x14:dataBar minLength="0" maxLength="100" gradient="0">
              <x14:cfvo type="autoMin"/>
              <x14:cfvo type="autoMax"/>
              <x14:negativeFillColor rgb="FFFF0000"/>
              <x14:axisColor rgb="FF000000"/>
            </x14:dataBar>
          </x14:cfRule>
          <xm:sqref>E9:E34</xm:sqref>
        </x14:conditionalFormatting>
        <x14:conditionalFormatting xmlns:xm="http://schemas.microsoft.com/office/excel/2006/main" pivot="1">
          <x14:cfRule type="dataBar" id="{CB9F108F-1171-4BCA-B224-73A42FDDCE61}">
            <x14:dataBar minLength="0" maxLength="100" gradient="0">
              <x14:cfvo type="autoMin"/>
              <x14:cfvo type="autoMax"/>
              <x14:negativeFillColor rgb="FFFF0000"/>
              <x14:axisColor rgb="FF000000"/>
            </x14:dataBar>
          </x14:cfRule>
          <xm:sqref>D9:D34</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AC45"/>
  <sheetViews>
    <sheetView topLeftCell="U11" workbookViewId="0">
      <selection activeCell="Z26" sqref="Z26"/>
    </sheetView>
  </sheetViews>
  <sheetFormatPr defaultRowHeight="13.8"/>
  <cols>
    <col min="4" max="4" width="13.09765625" bestFit="1" customWidth="1"/>
    <col min="5" max="5" width="11.5" customWidth="1"/>
    <col min="6" max="6" width="15" customWidth="1"/>
    <col min="7" max="7" width="14" customWidth="1"/>
    <col min="8" max="8" width="14.59765625" customWidth="1"/>
    <col min="9" max="9" width="18.5" customWidth="1"/>
    <col min="11" max="11" width="13.09765625" customWidth="1"/>
    <col min="12" max="12" width="15" customWidth="1"/>
    <col min="13" max="13" width="19.296875" customWidth="1"/>
    <col min="14" max="14" width="16.796875" customWidth="1"/>
    <col min="15" max="15" width="31.59765625" customWidth="1"/>
    <col min="16" max="16" width="23.796875" bestFit="1" customWidth="1"/>
    <col min="18" max="18" width="13.09765625" customWidth="1"/>
    <col min="19" max="19" width="20.296875" customWidth="1"/>
    <col min="20" max="20" width="19.296875" customWidth="1"/>
    <col min="21" max="21" width="23.796875" customWidth="1"/>
    <col min="22" max="22" width="11" customWidth="1"/>
    <col min="23" max="23" width="16.796875" customWidth="1"/>
    <col min="25" max="25" width="11" customWidth="1"/>
    <col min="26" max="26" width="31.59765625" customWidth="1"/>
    <col min="28" max="28" width="13.09765625" customWidth="1"/>
    <col min="29" max="29" width="23.796875" bestFit="1" customWidth="1"/>
  </cols>
  <sheetData>
    <row r="4" spans="11:15">
      <c r="K4" t="s">
        <v>37</v>
      </c>
      <c r="L4" t="s">
        <v>38</v>
      </c>
      <c r="M4" t="s">
        <v>39</v>
      </c>
      <c r="N4" t="s">
        <v>40</v>
      </c>
      <c r="O4" t="s">
        <v>41</v>
      </c>
    </row>
    <row r="5" spans="11:15">
      <c r="K5" s="5">
        <v>18300</v>
      </c>
      <c r="L5" s="5">
        <v>3619</v>
      </c>
      <c r="M5" s="5">
        <v>1309</v>
      </c>
      <c r="N5" s="5">
        <v>706194.88999999966</v>
      </c>
      <c r="O5" s="5">
        <v>15.556199999999993</v>
      </c>
    </row>
    <row r="7" spans="11:15">
      <c r="K7" t="s">
        <v>41</v>
      </c>
    </row>
    <row r="8" spans="11:15">
      <c r="K8" s="5">
        <v>15.556199999999993</v>
      </c>
    </row>
    <row r="18" spans="4:29">
      <c r="D18" s="3" t="s">
        <v>35</v>
      </c>
      <c r="E18" t="s">
        <v>42</v>
      </c>
      <c r="F18" t="s">
        <v>43</v>
      </c>
      <c r="G18" t="s">
        <v>44</v>
      </c>
      <c r="H18" t="s">
        <v>45</v>
      </c>
      <c r="I18" t="s">
        <v>46</v>
      </c>
      <c r="K18" s="3" t="s">
        <v>35</v>
      </c>
      <c r="L18" t="s">
        <v>43</v>
      </c>
      <c r="M18" t="s">
        <v>39</v>
      </c>
      <c r="N18" t="s">
        <v>37</v>
      </c>
      <c r="O18" t="s">
        <v>47</v>
      </c>
      <c r="P18" t="s">
        <v>41</v>
      </c>
      <c r="R18" s="3" t="s">
        <v>35</v>
      </c>
      <c r="S18" t="s">
        <v>38</v>
      </c>
      <c r="T18" t="s">
        <v>39</v>
      </c>
      <c r="V18" s="3" t="s">
        <v>60</v>
      </c>
      <c r="W18" t="s">
        <v>37</v>
      </c>
      <c r="Y18" s="3" t="s">
        <v>60</v>
      </c>
      <c r="Z18" t="s">
        <v>47</v>
      </c>
      <c r="AB18" s="3" t="s">
        <v>35</v>
      </c>
      <c r="AC18" t="s">
        <v>41</v>
      </c>
    </row>
    <row r="19" spans="4:29">
      <c r="D19" s="6" t="s">
        <v>34</v>
      </c>
      <c r="E19" s="5">
        <v>453</v>
      </c>
      <c r="F19" s="5">
        <v>184</v>
      </c>
      <c r="G19" s="5">
        <v>92</v>
      </c>
      <c r="H19" s="5">
        <v>50524.4</v>
      </c>
      <c r="I19" s="5">
        <v>1.0044999999999999</v>
      </c>
      <c r="K19" s="6" t="s">
        <v>12</v>
      </c>
      <c r="L19" s="8">
        <v>80</v>
      </c>
      <c r="M19" s="5">
        <v>40</v>
      </c>
      <c r="N19" s="5">
        <v>241</v>
      </c>
      <c r="O19" s="9">
        <v>78.538333333333327</v>
      </c>
      <c r="P19" s="10">
        <v>0.35580000000000006</v>
      </c>
      <c r="R19" s="4" t="s">
        <v>48</v>
      </c>
      <c r="S19" s="5">
        <v>301</v>
      </c>
      <c r="T19" s="5">
        <v>115</v>
      </c>
      <c r="V19" s="4" t="s">
        <v>48</v>
      </c>
      <c r="W19" s="5">
        <v>1511</v>
      </c>
      <c r="Y19" s="4" t="s">
        <v>51</v>
      </c>
      <c r="Z19" s="27">
        <v>345.99730769230769</v>
      </c>
      <c r="AB19" s="4" t="s">
        <v>48</v>
      </c>
      <c r="AC19" s="5">
        <v>1.2944999999999998</v>
      </c>
    </row>
    <row r="20" spans="4:29">
      <c r="D20" s="6" t="s">
        <v>16</v>
      </c>
      <c r="E20" s="5">
        <v>660</v>
      </c>
      <c r="F20" s="5">
        <v>92</v>
      </c>
      <c r="G20" s="5">
        <v>71</v>
      </c>
      <c r="H20" s="5">
        <v>49072.98</v>
      </c>
      <c r="I20" s="5">
        <v>0.4956000000000001</v>
      </c>
      <c r="K20" s="6" t="s">
        <v>25</v>
      </c>
      <c r="L20" s="8">
        <v>76</v>
      </c>
      <c r="M20" s="5">
        <v>64</v>
      </c>
      <c r="N20" s="5">
        <v>1023</v>
      </c>
      <c r="O20" s="9">
        <v>83.755833333333342</v>
      </c>
      <c r="P20" s="10">
        <v>1.1017000000000001</v>
      </c>
      <c r="R20" s="4" t="s">
        <v>49</v>
      </c>
      <c r="S20" s="5">
        <v>311</v>
      </c>
      <c r="T20" s="5">
        <v>118</v>
      </c>
      <c r="V20" s="4" t="s">
        <v>49</v>
      </c>
      <c r="W20" s="5">
        <v>1501</v>
      </c>
      <c r="Y20" s="4" t="s">
        <v>56</v>
      </c>
      <c r="Z20" s="27">
        <v>345.91615384615386</v>
      </c>
      <c r="AB20" s="4" t="s">
        <v>49</v>
      </c>
      <c r="AC20" s="5">
        <v>1.3083</v>
      </c>
    </row>
    <row r="21" spans="4:29">
      <c r="D21" s="6" t="s">
        <v>9</v>
      </c>
      <c r="E21" s="5">
        <v>783</v>
      </c>
      <c r="F21" s="5">
        <v>181</v>
      </c>
      <c r="G21" s="5">
        <v>77</v>
      </c>
      <c r="H21" s="5">
        <v>49041</v>
      </c>
      <c r="I21" s="5">
        <v>0.3402</v>
      </c>
      <c r="K21" s="6" t="s">
        <v>24</v>
      </c>
      <c r="L21" s="8">
        <v>61</v>
      </c>
      <c r="M21" s="5">
        <v>40</v>
      </c>
      <c r="N21" s="5">
        <v>1119</v>
      </c>
      <c r="O21" s="9">
        <v>167.63166666666666</v>
      </c>
      <c r="P21" s="10">
        <v>0.94120000000000004</v>
      </c>
      <c r="R21" s="4" t="s">
        <v>50</v>
      </c>
      <c r="S21" s="5">
        <v>300</v>
      </c>
      <c r="T21" s="5">
        <v>112</v>
      </c>
      <c r="V21" s="4" t="s">
        <v>50</v>
      </c>
      <c r="W21" s="5">
        <v>1488</v>
      </c>
      <c r="Y21" s="4" t="s">
        <v>52</v>
      </c>
      <c r="Z21" s="27">
        <v>344.52230769230766</v>
      </c>
      <c r="AB21" s="4" t="s">
        <v>50</v>
      </c>
      <c r="AC21" s="5">
        <v>1.2968999999999999</v>
      </c>
    </row>
    <row r="22" spans="4:29">
      <c r="D22" s="6" t="s">
        <v>22</v>
      </c>
      <c r="E22" s="5">
        <v>379</v>
      </c>
      <c r="F22" s="5">
        <v>87</v>
      </c>
      <c r="G22" s="5">
        <v>18</v>
      </c>
      <c r="H22" s="5">
        <v>45591.429999999993</v>
      </c>
      <c r="I22" s="5">
        <v>0.48699999999999993</v>
      </c>
      <c r="K22" s="6" t="s">
        <v>27</v>
      </c>
      <c r="L22" s="8">
        <v>212</v>
      </c>
      <c r="M22" s="5">
        <v>54</v>
      </c>
      <c r="N22" s="5">
        <v>1087</v>
      </c>
      <c r="O22" s="9">
        <v>176.04333333333332</v>
      </c>
      <c r="P22" s="10">
        <v>1.1775999999999998</v>
      </c>
      <c r="R22" s="4" t="s">
        <v>51</v>
      </c>
      <c r="S22" s="5">
        <v>298</v>
      </c>
      <c r="T22" s="5">
        <v>113</v>
      </c>
      <c r="V22" s="4" t="s">
        <v>51</v>
      </c>
      <c r="W22" s="5">
        <v>1547</v>
      </c>
      <c r="Y22" s="4" t="s">
        <v>58</v>
      </c>
      <c r="Z22" s="27">
        <v>344.24499999999995</v>
      </c>
      <c r="AB22" s="4" t="s">
        <v>51</v>
      </c>
      <c r="AC22" s="5">
        <v>1.2936000000000001</v>
      </c>
    </row>
    <row r="23" spans="4:29">
      <c r="D23" s="6" t="s">
        <v>25</v>
      </c>
      <c r="E23" s="5">
        <v>1023</v>
      </c>
      <c r="F23" s="5">
        <v>76</v>
      </c>
      <c r="G23" s="5">
        <v>64</v>
      </c>
      <c r="H23" s="5">
        <v>45365.2</v>
      </c>
      <c r="I23" s="5">
        <v>1.1017000000000001</v>
      </c>
      <c r="K23" s="6" t="s">
        <v>31</v>
      </c>
      <c r="L23" s="8">
        <v>99</v>
      </c>
      <c r="M23" s="5">
        <v>84</v>
      </c>
      <c r="N23" s="5">
        <v>848</v>
      </c>
      <c r="O23" s="9">
        <v>179.30083333333337</v>
      </c>
      <c r="P23" s="10">
        <v>1.0493999999999999</v>
      </c>
      <c r="R23" s="4" t="s">
        <v>52</v>
      </c>
      <c r="S23" s="5">
        <v>307</v>
      </c>
      <c r="T23" s="5">
        <v>110</v>
      </c>
      <c r="V23" s="4" t="s">
        <v>52</v>
      </c>
      <c r="W23" s="5">
        <v>1517</v>
      </c>
      <c r="Y23" s="4" t="s">
        <v>55</v>
      </c>
      <c r="Z23" s="27">
        <v>342.92230769230775</v>
      </c>
      <c r="AB23" s="4" t="s">
        <v>52</v>
      </c>
      <c r="AC23" s="5">
        <v>1.3026999999999997</v>
      </c>
    </row>
    <row r="24" spans="4:29">
      <c r="D24" s="6" t="s">
        <v>10</v>
      </c>
      <c r="E24" s="5">
        <v>907</v>
      </c>
      <c r="F24" s="5">
        <v>141</v>
      </c>
      <c r="G24" s="5">
        <v>53</v>
      </c>
      <c r="H24" s="5">
        <v>45196.26</v>
      </c>
      <c r="I24" s="5">
        <v>0.48589999999999994</v>
      </c>
      <c r="K24" s="6" t="s">
        <v>19</v>
      </c>
      <c r="L24" s="8">
        <v>91</v>
      </c>
      <c r="M24" s="5">
        <v>73</v>
      </c>
      <c r="N24" s="5">
        <v>226</v>
      </c>
      <c r="O24" s="9">
        <v>200.37666666666667</v>
      </c>
      <c r="P24" s="10">
        <v>0.92100000000000004</v>
      </c>
      <c r="R24" s="4" t="s">
        <v>53</v>
      </c>
      <c r="S24" s="5">
        <v>305</v>
      </c>
      <c r="T24" s="5">
        <v>110</v>
      </c>
      <c r="V24" s="4" t="s">
        <v>53</v>
      </c>
      <c r="W24" s="5">
        <v>1527</v>
      </c>
      <c r="Y24" s="4" t="s">
        <v>49</v>
      </c>
      <c r="Z24" s="27">
        <v>342.74192307692317</v>
      </c>
      <c r="AB24" s="4" t="s">
        <v>53</v>
      </c>
      <c r="AC24" s="5">
        <v>1.2805000000000002</v>
      </c>
    </row>
    <row r="25" spans="4:29">
      <c r="D25" s="6" t="s">
        <v>26</v>
      </c>
      <c r="E25" s="5">
        <v>288</v>
      </c>
      <c r="F25" s="5">
        <v>180</v>
      </c>
      <c r="G25" s="5">
        <v>81</v>
      </c>
      <c r="H25" s="5">
        <v>44979.729999999996</v>
      </c>
      <c r="I25" s="5">
        <v>0.40710000000000007</v>
      </c>
      <c r="K25" s="6" t="s">
        <v>23</v>
      </c>
      <c r="L25" s="8">
        <v>97</v>
      </c>
      <c r="M25" s="5">
        <v>31</v>
      </c>
      <c r="N25" s="5">
        <v>747</v>
      </c>
      <c r="O25" s="9">
        <v>203.20666666666668</v>
      </c>
      <c r="P25" s="10">
        <v>0.35080000000000006</v>
      </c>
      <c r="R25" s="4" t="s">
        <v>54</v>
      </c>
      <c r="S25" s="5">
        <v>293</v>
      </c>
      <c r="T25" s="5">
        <v>104</v>
      </c>
      <c r="V25" s="4" t="s">
        <v>54</v>
      </c>
      <c r="W25" s="5">
        <v>1498</v>
      </c>
      <c r="Y25" s="4" t="s">
        <v>57</v>
      </c>
      <c r="Z25" s="27">
        <v>342.63153846153841</v>
      </c>
      <c r="AB25" s="4" t="s">
        <v>54</v>
      </c>
      <c r="AC25" s="5">
        <v>1.2975000000000001</v>
      </c>
    </row>
    <row r="26" spans="4:29">
      <c r="D26" s="6" t="s">
        <v>20</v>
      </c>
      <c r="E26" s="5">
        <v>420</v>
      </c>
      <c r="F26" s="5">
        <v>74</v>
      </c>
      <c r="G26" s="5">
        <v>59</v>
      </c>
      <c r="H26" s="5">
        <v>44146.13</v>
      </c>
      <c r="I26" s="5">
        <v>0.48570000000000002</v>
      </c>
      <c r="K26" s="6" t="s">
        <v>22</v>
      </c>
      <c r="L26" s="8">
        <v>87</v>
      </c>
      <c r="M26" s="5">
        <v>18</v>
      </c>
      <c r="N26" s="5">
        <v>379</v>
      </c>
      <c r="O26" s="9">
        <v>207.3125</v>
      </c>
      <c r="P26" s="10">
        <v>0.48699999999999993</v>
      </c>
      <c r="R26" s="4" t="s">
        <v>55</v>
      </c>
      <c r="S26" s="5">
        <v>301</v>
      </c>
      <c r="T26" s="5">
        <v>98</v>
      </c>
      <c r="V26" s="4" t="s">
        <v>55</v>
      </c>
      <c r="W26" s="5">
        <v>1564</v>
      </c>
      <c r="Y26" s="4" t="s">
        <v>50</v>
      </c>
      <c r="Z26" s="27">
        <v>342.38307692307689</v>
      </c>
      <c r="AB26" s="4" t="s">
        <v>55</v>
      </c>
      <c r="AC26" s="5">
        <v>1.3157000000000001</v>
      </c>
    </row>
    <row r="27" spans="4:29">
      <c r="D27" s="6" t="s">
        <v>14</v>
      </c>
      <c r="E27" s="5">
        <v>731</v>
      </c>
      <c r="F27" s="5">
        <v>79</v>
      </c>
      <c r="G27" s="5">
        <v>31</v>
      </c>
      <c r="H27" s="5">
        <v>43859.520000000004</v>
      </c>
      <c r="I27" s="5">
        <v>0.14000000000000001</v>
      </c>
      <c r="K27" s="6" t="s">
        <v>16</v>
      </c>
      <c r="L27" s="8">
        <v>92</v>
      </c>
      <c r="M27" s="5">
        <v>71</v>
      </c>
      <c r="N27" s="5">
        <v>660</v>
      </c>
      <c r="O27" s="9">
        <v>245.41666666666663</v>
      </c>
      <c r="P27" s="10">
        <v>0.4956000000000001</v>
      </c>
      <c r="R27" s="4" t="s">
        <v>56</v>
      </c>
      <c r="S27" s="5">
        <v>307</v>
      </c>
      <c r="T27" s="5">
        <v>108</v>
      </c>
      <c r="V27" s="4" t="s">
        <v>56</v>
      </c>
      <c r="W27" s="5">
        <v>1562</v>
      </c>
      <c r="Y27" s="4" t="s">
        <v>48</v>
      </c>
      <c r="Z27" s="27">
        <v>341.35307692307691</v>
      </c>
      <c r="AB27" s="4" t="s">
        <v>56</v>
      </c>
      <c r="AC27" s="5">
        <v>1.3006999999999997</v>
      </c>
    </row>
    <row r="28" spans="4:29">
      <c r="D28" s="6" t="s">
        <v>11</v>
      </c>
      <c r="E28" s="5">
        <v>617</v>
      </c>
      <c r="F28" s="5">
        <v>177</v>
      </c>
      <c r="G28" s="5">
        <v>28</v>
      </c>
      <c r="H28" s="5">
        <v>42137.53</v>
      </c>
      <c r="I28" s="5">
        <v>0.51700000000000002</v>
      </c>
      <c r="K28" s="6" t="s">
        <v>29</v>
      </c>
      <c r="L28" s="8">
        <v>172</v>
      </c>
      <c r="M28" s="5">
        <v>17</v>
      </c>
      <c r="N28" s="5">
        <v>246</v>
      </c>
      <c r="O28" s="9">
        <v>294.54583333333335</v>
      </c>
      <c r="P28" s="10">
        <v>0.63040000000000007</v>
      </c>
      <c r="R28" s="4" t="s">
        <v>57</v>
      </c>
      <c r="S28" s="5">
        <v>299</v>
      </c>
      <c r="T28" s="5">
        <v>107</v>
      </c>
      <c r="V28" s="4" t="s">
        <v>57</v>
      </c>
      <c r="W28" s="5">
        <v>1531</v>
      </c>
      <c r="Y28" s="4" t="s">
        <v>53</v>
      </c>
      <c r="Z28" s="27">
        <v>339.86807692307684</v>
      </c>
      <c r="AB28" s="4" t="s">
        <v>57</v>
      </c>
      <c r="AC28" s="5">
        <v>1.2853999999999999</v>
      </c>
    </row>
    <row r="29" spans="4:29">
      <c r="D29" s="6" t="s">
        <v>30</v>
      </c>
      <c r="E29" s="5">
        <v>1151</v>
      </c>
      <c r="F29" s="5">
        <v>69</v>
      </c>
      <c r="G29" s="5">
        <v>18</v>
      </c>
      <c r="H29" s="5">
        <v>41544.150000000009</v>
      </c>
      <c r="I29" s="5">
        <v>0.36399999999999999</v>
      </c>
      <c r="K29" s="6" t="s">
        <v>15</v>
      </c>
      <c r="L29" s="8">
        <v>218</v>
      </c>
      <c r="M29" s="5">
        <v>30</v>
      </c>
      <c r="N29" s="5">
        <v>924</v>
      </c>
      <c r="O29" s="9">
        <v>304.6633333333333</v>
      </c>
      <c r="P29" s="10">
        <v>1.1950000000000001</v>
      </c>
      <c r="R29" s="4" t="s">
        <v>58</v>
      </c>
      <c r="S29" s="5">
        <v>306</v>
      </c>
      <c r="T29" s="5">
        <v>108</v>
      </c>
      <c r="V29" s="4" t="s">
        <v>58</v>
      </c>
      <c r="W29" s="5">
        <v>1503</v>
      </c>
      <c r="Y29" s="4" t="s">
        <v>54</v>
      </c>
      <c r="Z29" s="27">
        <v>338.6426923076923</v>
      </c>
      <c r="AB29" s="4" t="s">
        <v>58</v>
      </c>
      <c r="AC29" s="5">
        <v>1.2805</v>
      </c>
    </row>
    <row r="30" spans="4:29">
      <c r="D30" s="6" t="s">
        <v>32</v>
      </c>
      <c r="E30" s="5">
        <v>1180</v>
      </c>
      <c r="F30" s="5">
        <v>173</v>
      </c>
      <c r="G30" s="5">
        <v>4</v>
      </c>
      <c r="H30" s="5">
        <v>34781.939999999995</v>
      </c>
      <c r="I30" s="5">
        <v>0.29930000000000001</v>
      </c>
      <c r="K30" s="6" t="s">
        <v>18</v>
      </c>
      <c r="L30" s="8">
        <v>184</v>
      </c>
      <c r="M30" s="5">
        <v>100</v>
      </c>
      <c r="N30" s="5">
        <v>806</v>
      </c>
      <c r="O30" s="9">
        <v>325.77749999999992</v>
      </c>
      <c r="P30" s="10">
        <v>0.41290000000000004</v>
      </c>
      <c r="R30" s="4" t="s">
        <v>59</v>
      </c>
      <c r="S30" s="5">
        <v>291</v>
      </c>
      <c r="T30" s="5">
        <v>106</v>
      </c>
      <c r="V30" s="4" t="s">
        <v>59</v>
      </c>
      <c r="W30" s="5">
        <v>1551</v>
      </c>
      <c r="Y30" s="4" t="s">
        <v>59</v>
      </c>
      <c r="Z30" s="27">
        <v>336.32653846153846</v>
      </c>
      <c r="AB30" s="4" t="s">
        <v>59</v>
      </c>
      <c r="AC30" s="5">
        <v>1.2999000000000005</v>
      </c>
    </row>
    <row r="31" spans="4:29">
      <c r="D31" s="6" t="s">
        <v>15</v>
      </c>
      <c r="E31" s="5">
        <v>924</v>
      </c>
      <c r="F31" s="5">
        <v>218</v>
      </c>
      <c r="G31" s="5">
        <v>30</v>
      </c>
      <c r="H31" s="5">
        <v>29842.950000000004</v>
      </c>
      <c r="I31" s="5">
        <v>1.1950000000000001</v>
      </c>
      <c r="K31" s="6" t="s">
        <v>9</v>
      </c>
      <c r="L31" s="8">
        <v>181</v>
      </c>
      <c r="M31" s="5">
        <v>77</v>
      </c>
      <c r="N31" s="5">
        <v>783</v>
      </c>
      <c r="O31" s="9">
        <v>336.125</v>
      </c>
      <c r="P31" s="10">
        <v>0.3402</v>
      </c>
      <c r="R31" s="4" t="s">
        <v>36</v>
      </c>
      <c r="S31" s="5">
        <v>3619</v>
      </c>
      <c r="T31" s="5">
        <v>1309</v>
      </c>
      <c r="V31" s="4" t="s">
        <v>36</v>
      </c>
      <c r="W31" s="5">
        <v>18300</v>
      </c>
      <c r="Y31" s="4" t="s">
        <v>36</v>
      </c>
      <c r="Z31" s="5">
        <v>342.29583333333301</v>
      </c>
      <c r="AB31" s="4" t="s">
        <v>36</v>
      </c>
      <c r="AC31" s="5">
        <v>15.556199999999999</v>
      </c>
    </row>
    <row r="32" spans="4:29">
      <c r="D32" s="6" t="s">
        <v>29</v>
      </c>
      <c r="E32" s="5">
        <v>246</v>
      </c>
      <c r="F32" s="5">
        <v>172</v>
      </c>
      <c r="G32" s="5">
        <v>17</v>
      </c>
      <c r="H32" s="5">
        <v>18659.18</v>
      </c>
      <c r="I32" s="5">
        <v>0.63040000000000007</v>
      </c>
      <c r="K32" s="6" t="s">
        <v>34</v>
      </c>
      <c r="L32" s="8">
        <v>184</v>
      </c>
      <c r="M32" s="5">
        <v>92</v>
      </c>
      <c r="N32" s="5">
        <v>453</v>
      </c>
      <c r="O32" s="9">
        <v>350.93333333333339</v>
      </c>
      <c r="P32" s="10">
        <v>1.0044999999999999</v>
      </c>
    </row>
    <row r="33" spans="4:16">
      <c r="D33" s="6" t="s">
        <v>12</v>
      </c>
      <c r="E33" s="5">
        <v>241</v>
      </c>
      <c r="F33" s="5">
        <v>80</v>
      </c>
      <c r="G33" s="5">
        <v>40</v>
      </c>
      <c r="H33" s="5">
        <v>18368.47</v>
      </c>
      <c r="I33" s="5">
        <v>0.35580000000000006</v>
      </c>
      <c r="K33" s="6" t="s">
        <v>10</v>
      </c>
      <c r="L33" s="8">
        <v>141</v>
      </c>
      <c r="M33" s="5">
        <v>53</v>
      </c>
      <c r="N33" s="5">
        <v>907</v>
      </c>
      <c r="O33" s="9">
        <v>364.6366666666666</v>
      </c>
      <c r="P33" s="10">
        <v>0.48589999999999994</v>
      </c>
    </row>
    <row r="34" spans="4:16">
      <c r="D34" s="6" t="s">
        <v>24</v>
      </c>
      <c r="E34" s="5">
        <v>1119</v>
      </c>
      <c r="F34" s="5">
        <v>61</v>
      </c>
      <c r="G34" s="5">
        <v>40</v>
      </c>
      <c r="H34" s="5">
        <v>14672.969999999998</v>
      </c>
      <c r="I34" s="5">
        <v>0.94120000000000004</v>
      </c>
      <c r="K34" s="6" t="s">
        <v>17</v>
      </c>
      <c r="L34" s="8">
        <v>217</v>
      </c>
      <c r="M34" s="5">
        <v>103</v>
      </c>
      <c r="N34" s="5">
        <v>367</v>
      </c>
      <c r="O34" s="9">
        <v>372.69833333333332</v>
      </c>
      <c r="P34" s="10">
        <v>0.68730000000000002</v>
      </c>
    </row>
    <row r="35" spans="4:16">
      <c r="D35" s="6" t="s">
        <v>28</v>
      </c>
      <c r="E35" s="5">
        <v>831</v>
      </c>
      <c r="F35" s="5">
        <v>154</v>
      </c>
      <c r="G35" s="5">
        <v>4</v>
      </c>
      <c r="H35" s="5">
        <v>14526.439999999999</v>
      </c>
      <c r="I35" s="5">
        <v>1.1900000000000003E-2</v>
      </c>
      <c r="K35" s="6" t="s">
        <v>32</v>
      </c>
      <c r="L35" s="8">
        <v>173</v>
      </c>
      <c r="M35" s="5">
        <v>4</v>
      </c>
      <c r="N35" s="5">
        <v>1180</v>
      </c>
      <c r="O35" s="9">
        <v>386.55333333333328</v>
      </c>
      <c r="P35" s="10">
        <v>0.29930000000000001</v>
      </c>
    </row>
    <row r="36" spans="4:16">
      <c r="D36" s="6" t="s">
        <v>17</v>
      </c>
      <c r="E36" s="5">
        <v>367</v>
      </c>
      <c r="F36" s="5">
        <v>217</v>
      </c>
      <c r="G36" s="5">
        <v>103</v>
      </c>
      <c r="H36" s="5">
        <v>14209.390000000001</v>
      </c>
      <c r="I36" s="5">
        <v>0.68730000000000002</v>
      </c>
      <c r="K36" s="6" t="s">
        <v>11</v>
      </c>
      <c r="L36" s="8">
        <v>177</v>
      </c>
      <c r="M36" s="5">
        <v>28</v>
      </c>
      <c r="N36" s="5">
        <v>617</v>
      </c>
      <c r="O36" s="9">
        <v>397.05500000000001</v>
      </c>
      <c r="P36" s="10">
        <v>0.51700000000000002</v>
      </c>
    </row>
    <row r="37" spans="4:16">
      <c r="D37" s="6" t="s">
        <v>13</v>
      </c>
      <c r="E37" s="5">
        <v>977</v>
      </c>
      <c r="F37" s="5">
        <v>166</v>
      </c>
      <c r="G37" s="5">
        <v>55</v>
      </c>
      <c r="H37" s="5">
        <v>12143.710000000001</v>
      </c>
      <c r="I37" s="5">
        <v>0.46930000000000005</v>
      </c>
      <c r="K37" s="6" t="s">
        <v>13</v>
      </c>
      <c r="L37" s="8">
        <v>166</v>
      </c>
      <c r="M37" s="5">
        <v>55</v>
      </c>
      <c r="N37" s="5">
        <v>977</v>
      </c>
      <c r="O37" s="9">
        <v>477.24500000000006</v>
      </c>
      <c r="P37" s="10">
        <v>0.46930000000000005</v>
      </c>
    </row>
    <row r="38" spans="4:16">
      <c r="D38" s="6" t="s">
        <v>18</v>
      </c>
      <c r="E38" s="5">
        <v>806</v>
      </c>
      <c r="F38" s="5">
        <v>184</v>
      </c>
      <c r="G38" s="5">
        <v>100</v>
      </c>
      <c r="H38" s="5">
        <v>12040.489999999998</v>
      </c>
      <c r="I38" s="5">
        <v>0.41290000000000004</v>
      </c>
      <c r="K38" s="6" t="s">
        <v>28</v>
      </c>
      <c r="L38" s="8">
        <v>154</v>
      </c>
      <c r="M38" s="5">
        <v>4</v>
      </c>
      <c r="N38" s="5">
        <v>831</v>
      </c>
      <c r="O38" s="9">
        <v>496.41833333333335</v>
      </c>
      <c r="P38" s="10">
        <v>1.1900000000000003E-2</v>
      </c>
    </row>
    <row r="39" spans="4:16">
      <c r="D39" s="6" t="s">
        <v>19</v>
      </c>
      <c r="E39" s="5">
        <v>226</v>
      </c>
      <c r="F39" s="5">
        <v>91</v>
      </c>
      <c r="G39" s="5">
        <v>73</v>
      </c>
      <c r="H39" s="5">
        <v>9402.9399999999987</v>
      </c>
      <c r="I39" s="5">
        <v>0.92100000000000004</v>
      </c>
      <c r="K39" s="6" t="s">
        <v>14</v>
      </c>
      <c r="L39" s="8">
        <v>79</v>
      </c>
      <c r="M39" s="5">
        <v>31</v>
      </c>
      <c r="N39" s="5">
        <v>731</v>
      </c>
      <c r="O39" s="9">
        <v>508.57500000000005</v>
      </c>
      <c r="P39" s="10">
        <v>0.14000000000000001</v>
      </c>
    </row>
    <row r="40" spans="4:16">
      <c r="D40" s="6" t="s">
        <v>23</v>
      </c>
      <c r="E40" s="5">
        <v>747</v>
      </c>
      <c r="F40" s="5">
        <v>97</v>
      </c>
      <c r="G40" s="5">
        <v>31</v>
      </c>
      <c r="H40" s="5">
        <v>7844.18</v>
      </c>
      <c r="I40" s="5">
        <v>0.35080000000000006</v>
      </c>
      <c r="K40" s="6" t="s">
        <v>26</v>
      </c>
      <c r="L40" s="8">
        <v>180</v>
      </c>
      <c r="M40" s="5">
        <v>81</v>
      </c>
      <c r="N40" s="5">
        <v>288</v>
      </c>
      <c r="O40" s="9">
        <v>509.42749999999995</v>
      </c>
      <c r="P40" s="10">
        <v>0.40710000000000007</v>
      </c>
    </row>
    <row r="41" spans="4:16">
      <c r="D41" s="6" t="s">
        <v>31</v>
      </c>
      <c r="E41" s="5">
        <v>848</v>
      </c>
      <c r="F41" s="5">
        <v>99</v>
      </c>
      <c r="G41" s="5">
        <v>84</v>
      </c>
      <c r="H41" s="5">
        <v>6133.4100000000008</v>
      </c>
      <c r="I41" s="5">
        <v>1.0493999999999999</v>
      </c>
      <c r="K41" s="6" t="s">
        <v>20</v>
      </c>
      <c r="L41" s="8">
        <v>74</v>
      </c>
      <c r="M41" s="5">
        <v>59</v>
      </c>
      <c r="N41" s="5">
        <v>420</v>
      </c>
      <c r="O41" s="9">
        <v>538.88833333333343</v>
      </c>
      <c r="P41" s="10">
        <v>0.48570000000000002</v>
      </c>
    </row>
    <row r="42" spans="4:16">
      <c r="D42" s="6" t="s">
        <v>27</v>
      </c>
      <c r="E42" s="5">
        <v>1087</v>
      </c>
      <c r="F42" s="5">
        <v>212</v>
      </c>
      <c r="G42" s="5">
        <v>54</v>
      </c>
      <c r="H42" s="5">
        <v>5002.7100000000009</v>
      </c>
      <c r="I42" s="5">
        <v>1.1775999999999998</v>
      </c>
      <c r="K42" s="6" t="s">
        <v>33</v>
      </c>
      <c r="L42" s="8">
        <v>130</v>
      </c>
      <c r="M42" s="5">
        <v>52</v>
      </c>
      <c r="N42" s="5">
        <v>407</v>
      </c>
      <c r="O42" s="9">
        <v>542.89833333333343</v>
      </c>
      <c r="P42" s="10">
        <v>0.79959999999999998</v>
      </c>
    </row>
    <row r="43" spans="4:16">
      <c r="D43" s="6" t="s">
        <v>21</v>
      </c>
      <c r="E43" s="5">
        <v>882</v>
      </c>
      <c r="F43" s="5">
        <v>225</v>
      </c>
      <c r="G43" s="5">
        <v>30</v>
      </c>
      <c r="H43" s="5">
        <v>4278.2</v>
      </c>
      <c r="I43" s="5">
        <v>0.42599999999999999</v>
      </c>
      <c r="K43" s="6" t="s">
        <v>30</v>
      </c>
      <c r="L43" s="8">
        <v>69</v>
      </c>
      <c r="M43" s="5">
        <v>18</v>
      </c>
      <c r="N43" s="5">
        <v>1151</v>
      </c>
      <c r="O43" s="9">
        <v>559.48333333333335</v>
      </c>
      <c r="P43" s="10">
        <v>0.36399999999999999</v>
      </c>
    </row>
    <row r="44" spans="4:16">
      <c r="D44" s="6" t="s">
        <v>33</v>
      </c>
      <c r="E44" s="5">
        <v>407</v>
      </c>
      <c r="F44" s="5">
        <v>130</v>
      </c>
      <c r="G44" s="5">
        <v>52</v>
      </c>
      <c r="H44" s="5">
        <v>2829.58</v>
      </c>
      <c r="I44" s="5">
        <v>0.79959999999999998</v>
      </c>
      <c r="K44" s="6" t="s">
        <v>21</v>
      </c>
      <c r="L44" s="8">
        <v>225</v>
      </c>
      <c r="M44" s="5">
        <v>30</v>
      </c>
      <c r="N44" s="5">
        <v>882</v>
      </c>
      <c r="O44" s="9">
        <v>592.18500000000006</v>
      </c>
      <c r="P44" s="10">
        <v>0.42599999999999999</v>
      </c>
    </row>
    <row r="45" spans="4:16">
      <c r="D45" s="4" t="s">
        <v>36</v>
      </c>
      <c r="E45" s="5">
        <v>18300</v>
      </c>
      <c r="F45" s="5">
        <v>3619</v>
      </c>
      <c r="G45" s="5">
        <v>1309</v>
      </c>
      <c r="H45" s="5">
        <v>706194.8899999999</v>
      </c>
      <c r="I45" s="5">
        <v>15.556200000000002</v>
      </c>
      <c r="K45" s="4" t="s">
        <v>36</v>
      </c>
      <c r="L45" s="5">
        <v>3619</v>
      </c>
      <c r="M45" s="5">
        <v>1309</v>
      </c>
      <c r="N45" s="5">
        <v>18300</v>
      </c>
      <c r="O45" s="5">
        <v>342.29583333333346</v>
      </c>
      <c r="P45" s="5">
        <v>15.556199999999997</v>
      </c>
    </row>
  </sheetData>
  <conditionalFormatting pivot="1" sqref="I19:I44">
    <cfRule type="dataBar" priority="22">
      <dataBar>
        <cfvo type="min"/>
        <cfvo type="max"/>
        <color rgb="FF008AEF"/>
      </dataBar>
      <extLst>
        <ext xmlns:x14="http://schemas.microsoft.com/office/spreadsheetml/2009/9/main" uri="{B025F937-C7B1-47D3-B67F-A62EFF666E3E}">
          <x14:id>{3BB5BD46-01F1-4BBB-A9B8-DDBD81DFBEA6}</x14:id>
        </ext>
      </extLst>
    </cfRule>
  </conditionalFormatting>
  <conditionalFormatting pivot="1" sqref="H19:H44">
    <cfRule type="dataBar" priority="16">
      <dataBar>
        <cfvo type="min"/>
        <cfvo type="max"/>
        <color rgb="FFFF555A"/>
      </dataBar>
      <extLst>
        <ext xmlns:x14="http://schemas.microsoft.com/office/spreadsheetml/2009/9/main" uri="{B025F937-C7B1-47D3-B67F-A62EFF666E3E}">
          <x14:id>{05EAC752-389C-46DD-9AD5-A08E597F82DC}</x14:id>
        </ext>
      </extLst>
    </cfRule>
  </conditionalFormatting>
  <conditionalFormatting pivot="1" sqref="G19:G44">
    <cfRule type="dataBar" priority="15">
      <dataBar>
        <cfvo type="min"/>
        <cfvo type="max"/>
        <color rgb="FFD6007B"/>
      </dataBar>
      <extLst>
        <ext xmlns:x14="http://schemas.microsoft.com/office/spreadsheetml/2009/9/main" uri="{B025F937-C7B1-47D3-B67F-A62EFF666E3E}">
          <x14:id>{C2804B0D-96C8-47CC-8CB9-1AE04B3DF671}</x14:id>
        </ext>
      </extLst>
    </cfRule>
  </conditionalFormatting>
  <conditionalFormatting pivot="1" sqref="F19:F44">
    <cfRule type="dataBar" priority="19">
      <dataBar>
        <cfvo type="min"/>
        <cfvo type="max"/>
        <color rgb="FF008AEF"/>
      </dataBar>
      <extLst>
        <ext xmlns:x14="http://schemas.microsoft.com/office/spreadsheetml/2009/9/main" uri="{B025F937-C7B1-47D3-B67F-A62EFF666E3E}">
          <x14:id>{1C4978AD-B387-487B-815A-4A5E62A38895}</x14:id>
        </ext>
      </extLst>
    </cfRule>
  </conditionalFormatting>
  <conditionalFormatting pivot="1" sqref="E19:E44">
    <cfRule type="dataBar" priority="18">
      <dataBar>
        <cfvo type="min"/>
        <cfvo type="max"/>
        <color rgb="FF008AEF"/>
      </dataBar>
      <extLst>
        <ext xmlns:x14="http://schemas.microsoft.com/office/spreadsheetml/2009/9/main" uri="{B025F937-C7B1-47D3-B67F-A62EFF666E3E}">
          <x14:id>{BFCB8973-E9D3-4BC0-A155-5673156A3D3D}</x14:id>
        </ext>
      </extLst>
    </cfRule>
  </conditionalFormatting>
  <conditionalFormatting sqref="D19:D44">
    <cfRule type="dataBar" priority="17">
      <dataBar>
        <cfvo type="min"/>
        <cfvo type="max"/>
        <color rgb="FF008AEF"/>
      </dataBar>
      <extLst>
        <ext xmlns:x14="http://schemas.microsoft.com/office/spreadsheetml/2009/9/main" uri="{B025F937-C7B1-47D3-B67F-A62EFF666E3E}">
          <x14:id>{4343AFC5-E5B8-49B3-885A-66FD5E186D87}</x14:id>
        </ext>
      </extLst>
    </cfRule>
  </conditionalFormatting>
  <conditionalFormatting pivot="1" sqref="F19:F44">
    <cfRule type="dataBar" priority="14">
      <dataBar>
        <cfvo type="min"/>
        <cfvo type="max"/>
        <color rgb="FFFFFF00"/>
      </dataBar>
      <extLst>
        <ext xmlns:x14="http://schemas.microsoft.com/office/spreadsheetml/2009/9/main" uri="{B025F937-C7B1-47D3-B67F-A62EFF666E3E}">
          <x14:id>{6E173B1F-95FB-4CAB-8008-0E4E45D02DF6}</x14:id>
        </ext>
      </extLst>
    </cfRule>
  </conditionalFormatting>
  <conditionalFormatting pivot="1" sqref="E19:E44">
    <cfRule type="dataBar" priority="13">
      <dataBar>
        <cfvo type="min"/>
        <cfvo type="max"/>
        <color theme="4"/>
      </dataBar>
      <extLst>
        <ext xmlns:x14="http://schemas.microsoft.com/office/spreadsheetml/2009/9/main" uri="{B025F937-C7B1-47D3-B67F-A62EFF666E3E}">
          <x14:id>{051B3478-7027-416C-A41E-5C7F0F42D690}</x14:id>
        </ext>
      </extLst>
    </cfRule>
  </conditionalFormatting>
  <conditionalFormatting sqref="K19:K44">
    <cfRule type="dataBar" priority="9">
      <dataBar>
        <cfvo type="min"/>
        <cfvo type="max"/>
        <color rgb="FF008AEF"/>
      </dataBar>
      <extLst>
        <ext xmlns:x14="http://schemas.microsoft.com/office/spreadsheetml/2009/9/main" uri="{B025F937-C7B1-47D3-B67F-A62EFF666E3E}">
          <x14:id>{797EC755-6196-4702-B92A-205D165F2773}</x14:id>
        </ext>
      </extLst>
    </cfRule>
  </conditionalFormatting>
  <conditionalFormatting sqref="R19:R44">
    <cfRule type="dataBar" priority="4">
      <dataBar>
        <cfvo type="min"/>
        <cfvo type="max"/>
        <color rgb="FF008AEF"/>
      </dataBar>
      <extLst>
        <ext xmlns:x14="http://schemas.microsoft.com/office/spreadsheetml/2009/9/main" uri="{B025F937-C7B1-47D3-B67F-A62EFF666E3E}">
          <x14:id>{74D39F45-804E-4568-BCB3-1089C853589A}</x14:id>
        </ext>
      </extLst>
    </cfRule>
  </conditionalFormatting>
  <conditionalFormatting sqref="V20:V44">
    <cfRule type="dataBar" priority="3">
      <dataBar>
        <cfvo type="min"/>
        <cfvo type="max"/>
        <color rgb="FF008AEF"/>
      </dataBar>
      <extLst>
        <ext xmlns:x14="http://schemas.microsoft.com/office/spreadsheetml/2009/9/main" uri="{B025F937-C7B1-47D3-B67F-A62EFF666E3E}">
          <x14:id>{54648A07-BDB2-43CC-BC97-A40B1C506E44}</x14:id>
        </ext>
      </extLst>
    </cfRule>
  </conditionalFormatting>
  <conditionalFormatting sqref="Y20:Y44">
    <cfRule type="dataBar" priority="2">
      <dataBar>
        <cfvo type="min"/>
        <cfvo type="max"/>
        <color rgb="FF008AEF"/>
      </dataBar>
      <extLst>
        <ext xmlns:x14="http://schemas.microsoft.com/office/spreadsheetml/2009/9/main" uri="{B025F937-C7B1-47D3-B67F-A62EFF666E3E}">
          <x14:id>{3FE3B8C7-6BA5-40E7-9921-E8F05E564DA1}</x14:id>
        </ext>
      </extLst>
    </cfRule>
  </conditionalFormatting>
  <conditionalFormatting sqref="AB19:AB44">
    <cfRule type="dataBar" priority="1">
      <dataBar>
        <cfvo type="min"/>
        <cfvo type="max"/>
        <color rgb="FF008AEF"/>
      </dataBar>
      <extLst>
        <ext xmlns:x14="http://schemas.microsoft.com/office/spreadsheetml/2009/9/main" uri="{B025F937-C7B1-47D3-B67F-A62EFF666E3E}">
          <x14:id>{E4A21ED9-2BA2-4C7F-9D6C-49632F607E60}</x14:id>
        </ext>
      </extLst>
    </cfRule>
  </conditionalFormatting>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pivot="1">
          <x14:cfRule type="dataBar" id="{3BB5BD46-01F1-4BBB-A9B8-DDBD81DFBEA6}">
            <x14:dataBar minLength="0" maxLength="100" border="1" negativeBarBorderColorSameAsPositive="0">
              <x14:cfvo type="autoMin"/>
              <x14:cfvo type="autoMax"/>
              <x14:borderColor rgb="FF008AEF"/>
              <x14:negativeFillColor rgb="FFFF0000"/>
              <x14:negativeBorderColor rgb="FFFF0000"/>
              <x14:axisColor rgb="FF000000"/>
            </x14:dataBar>
          </x14:cfRule>
          <xm:sqref>I19:I44</xm:sqref>
        </x14:conditionalFormatting>
        <x14:conditionalFormatting xmlns:xm="http://schemas.microsoft.com/office/excel/2006/main" pivot="1">
          <x14:cfRule type="dataBar" id="{05EAC752-389C-46DD-9AD5-A08E597F82DC}">
            <x14:dataBar minLength="0" maxLength="100" border="1" negativeBarBorderColorSameAsPositive="0">
              <x14:cfvo type="autoMin"/>
              <x14:cfvo type="autoMax"/>
              <x14:borderColor rgb="FFFF555A"/>
              <x14:negativeFillColor rgb="FFFF0000"/>
              <x14:negativeBorderColor rgb="FFFF0000"/>
              <x14:axisColor rgb="FF000000"/>
            </x14:dataBar>
          </x14:cfRule>
          <xm:sqref>H19:H44</xm:sqref>
        </x14:conditionalFormatting>
        <x14:conditionalFormatting xmlns:xm="http://schemas.microsoft.com/office/excel/2006/main" pivot="1">
          <x14:cfRule type="dataBar" id="{C2804B0D-96C8-47CC-8CB9-1AE04B3DF671}">
            <x14:dataBar minLength="0" maxLength="100" gradient="0">
              <x14:cfvo type="autoMin"/>
              <x14:cfvo type="autoMax"/>
              <x14:negativeFillColor rgb="FFFF0000"/>
              <x14:axisColor rgb="FF000000"/>
            </x14:dataBar>
          </x14:cfRule>
          <xm:sqref>G19:G44</xm:sqref>
        </x14:conditionalFormatting>
        <x14:conditionalFormatting xmlns:xm="http://schemas.microsoft.com/office/excel/2006/main" pivot="1">
          <x14:cfRule type="dataBar" id="{1C4978AD-B387-487B-815A-4A5E62A38895}">
            <x14:dataBar minLength="0" maxLength="100" border="1" negativeBarBorderColorSameAsPositive="0">
              <x14:cfvo type="autoMin"/>
              <x14:cfvo type="autoMax"/>
              <x14:borderColor rgb="FF008AEF"/>
              <x14:negativeFillColor rgb="FFFF0000"/>
              <x14:negativeBorderColor rgb="FFFF0000"/>
              <x14:axisColor rgb="FF000000"/>
            </x14:dataBar>
          </x14:cfRule>
          <xm:sqref>F19:F44</xm:sqref>
        </x14:conditionalFormatting>
        <x14:conditionalFormatting xmlns:xm="http://schemas.microsoft.com/office/excel/2006/main" pivot="1">
          <x14:cfRule type="dataBar" id="{BFCB8973-E9D3-4BC0-A155-5673156A3D3D}">
            <x14:dataBar minLength="0" maxLength="100" border="1" negativeBarBorderColorSameAsPositive="0">
              <x14:cfvo type="autoMin"/>
              <x14:cfvo type="autoMax"/>
              <x14:borderColor rgb="FF008AEF"/>
              <x14:negativeFillColor rgb="FFFF0000"/>
              <x14:negativeBorderColor rgb="FFFF0000"/>
              <x14:axisColor rgb="FF000000"/>
            </x14:dataBar>
          </x14:cfRule>
          <xm:sqref>E19:E44</xm:sqref>
        </x14:conditionalFormatting>
        <x14:conditionalFormatting xmlns:xm="http://schemas.microsoft.com/office/excel/2006/main">
          <x14:cfRule type="dataBar" id="{4343AFC5-E5B8-49B3-885A-66FD5E186D87}">
            <x14:dataBar minLength="0" maxLength="100" border="1" negativeBarBorderColorSameAsPositive="0">
              <x14:cfvo type="autoMin"/>
              <x14:cfvo type="autoMax"/>
              <x14:borderColor rgb="FF008AEF"/>
              <x14:negativeFillColor rgb="FFFF0000"/>
              <x14:negativeBorderColor rgb="FFFF0000"/>
              <x14:axisColor rgb="FF000000"/>
            </x14:dataBar>
          </x14:cfRule>
          <xm:sqref>D19:D44</xm:sqref>
        </x14:conditionalFormatting>
        <x14:conditionalFormatting xmlns:xm="http://schemas.microsoft.com/office/excel/2006/main" pivot="1">
          <x14:cfRule type="dataBar" id="{6E173B1F-95FB-4CAB-8008-0E4E45D02DF6}">
            <x14:dataBar minLength="0" maxLength="100" gradient="0">
              <x14:cfvo type="autoMin"/>
              <x14:cfvo type="autoMax"/>
              <x14:negativeFillColor rgb="FFFF0000"/>
              <x14:axisColor rgb="FF000000"/>
            </x14:dataBar>
          </x14:cfRule>
          <xm:sqref>F19:F44</xm:sqref>
        </x14:conditionalFormatting>
        <x14:conditionalFormatting xmlns:xm="http://schemas.microsoft.com/office/excel/2006/main" pivot="1">
          <x14:cfRule type="dataBar" id="{051B3478-7027-416C-A41E-5C7F0F42D690}">
            <x14:dataBar minLength="0" maxLength="100" gradient="0">
              <x14:cfvo type="autoMin"/>
              <x14:cfvo type="autoMax"/>
              <x14:negativeFillColor rgb="FFFF0000"/>
              <x14:axisColor rgb="FF000000"/>
            </x14:dataBar>
          </x14:cfRule>
          <xm:sqref>E19:E44</xm:sqref>
        </x14:conditionalFormatting>
        <x14:conditionalFormatting xmlns:xm="http://schemas.microsoft.com/office/excel/2006/main">
          <x14:cfRule type="dataBar" id="{797EC755-6196-4702-B92A-205D165F2773}">
            <x14:dataBar minLength="0" maxLength="100" border="1" negativeBarBorderColorSameAsPositive="0">
              <x14:cfvo type="autoMin"/>
              <x14:cfvo type="autoMax"/>
              <x14:borderColor rgb="FF008AEF"/>
              <x14:negativeFillColor rgb="FFFF0000"/>
              <x14:negativeBorderColor rgb="FFFF0000"/>
              <x14:axisColor rgb="FF000000"/>
            </x14:dataBar>
          </x14:cfRule>
          <xm:sqref>K19:K44</xm:sqref>
        </x14:conditionalFormatting>
        <x14:conditionalFormatting xmlns:xm="http://schemas.microsoft.com/office/excel/2006/main">
          <x14:cfRule type="dataBar" id="{74D39F45-804E-4568-BCB3-1089C853589A}">
            <x14:dataBar minLength="0" maxLength="100" border="1" negativeBarBorderColorSameAsPositive="0">
              <x14:cfvo type="autoMin"/>
              <x14:cfvo type="autoMax"/>
              <x14:borderColor rgb="FF008AEF"/>
              <x14:negativeFillColor rgb="FFFF0000"/>
              <x14:negativeBorderColor rgb="FFFF0000"/>
              <x14:axisColor rgb="FF000000"/>
            </x14:dataBar>
          </x14:cfRule>
          <xm:sqref>R19:R44</xm:sqref>
        </x14:conditionalFormatting>
        <x14:conditionalFormatting xmlns:xm="http://schemas.microsoft.com/office/excel/2006/main">
          <x14:cfRule type="dataBar" id="{54648A07-BDB2-43CC-BC97-A40B1C506E44}">
            <x14:dataBar minLength="0" maxLength="100" border="1" negativeBarBorderColorSameAsPositive="0">
              <x14:cfvo type="autoMin"/>
              <x14:cfvo type="autoMax"/>
              <x14:borderColor rgb="FF008AEF"/>
              <x14:negativeFillColor rgb="FFFF0000"/>
              <x14:negativeBorderColor rgb="FFFF0000"/>
              <x14:axisColor rgb="FF000000"/>
            </x14:dataBar>
          </x14:cfRule>
          <xm:sqref>V20:V44</xm:sqref>
        </x14:conditionalFormatting>
        <x14:conditionalFormatting xmlns:xm="http://schemas.microsoft.com/office/excel/2006/main">
          <x14:cfRule type="dataBar" id="{3FE3B8C7-6BA5-40E7-9921-E8F05E564DA1}">
            <x14:dataBar minLength="0" maxLength="100" border="1" negativeBarBorderColorSameAsPositive="0">
              <x14:cfvo type="autoMin"/>
              <x14:cfvo type="autoMax"/>
              <x14:borderColor rgb="FF008AEF"/>
              <x14:negativeFillColor rgb="FFFF0000"/>
              <x14:negativeBorderColor rgb="FFFF0000"/>
              <x14:axisColor rgb="FF000000"/>
            </x14:dataBar>
          </x14:cfRule>
          <xm:sqref>Y20:Y44</xm:sqref>
        </x14:conditionalFormatting>
        <x14:conditionalFormatting xmlns:xm="http://schemas.microsoft.com/office/excel/2006/main">
          <x14:cfRule type="dataBar" id="{E4A21ED9-2BA2-4C7F-9D6C-49632F607E60}">
            <x14:dataBar minLength="0" maxLength="100" border="1" negativeBarBorderColorSameAsPositive="0">
              <x14:cfvo type="autoMin"/>
              <x14:cfvo type="autoMax"/>
              <x14:borderColor rgb="FF008AEF"/>
              <x14:negativeFillColor rgb="FFFF0000"/>
              <x14:negativeBorderColor rgb="FFFF0000"/>
              <x14:axisColor rgb="FF000000"/>
            </x14:dataBar>
          </x14:cfRule>
          <xm:sqref>AB19:AB44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Sales_Dashboard</vt:lpstr>
      <vt:lpstr>PivotTableReport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Maher Fattouh</cp:lastModifiedBy>
  <dcterms:created xsi:type="dcterms:W3CDTF">2024-02-09T06:40:31Z</dcterms:created>
  <dcterms:modified xsi:type="dcterms:W3CDTF">2026-03-28T20:03:21Z</dcterms:modified>
</cp:coreProperties>
</file>